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423cf5ec3f6159c/Documents/"/>
    </mc:Choice>
  </mc:AlternateContent>
  <xr:revisionPtr revIDLastSave="3" documentId="8_{70F33D20-C30D-4EEE-B898-0B3EADEB8F0E}" xr6:coauthVersionLast="47" xr6:coauthVersionMax="47" xr10:uidLastSave="{E3DF3432-3DE8-404E-900E-7F531ACB33A9}"/>
  <bookViews>
    <workbookView xWindow="-108" yWindow="-108" windowWidth="23256" windowHeight="12456" tabRatio="500" xr2:uid="{00000000-000D-0000-FFFF-FFFF00000000}"/>
  </bookViews>
  <sheets>
    <sheet name="Data" sheetId="1" r:id="rId1"/>
    <sheet name="Tasks" sheetId="2" r:id="rId2"/>
    <sheet name="Department Info" sheetId="3" r:id="rId3"/>
    <sheet name="City Inf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Y5" i="1" l="1"/>
  <c r="N2" i="1"/>
  <c r="AD4"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 r="O32" i="1"/>
  <c r="P32" i="1"/>
  <c r="Q32" i="1"/>
  <c r="Y3" i="1" l="1"/>
  <c r="M3" i="1"/>
  <c r="L3" i="1"/>
  <c r="N3" i="1"/>
  <c r="O3" i="1"/>
  <c r="P3" i="1"/>
  <c r="Q3" i="1"/>
  <c r="R3" i="1"/>
  <c r="M4" i="1"/>
  <c r="L4" i="1"/>
  <c r="N4" i="1"/>
  <c r="O4" i="1"/>
  <c r="P4" i="1"/>
  <c r="Q4" i="1"/>
  <c r="R4" i="1"/>
  <c r="L5" i="1"/>
  <c r="M5" i="1"/>
  <c r="N5" i="1"/>
  <c r="O5" i="1"/>
  <c r="P5" i="1"/>
  <c r="Q5" i="1"/>
  <c r="R5" i="1"/>
  <c r="L6" i="1"/>
  <c r="M6" i="1"/>
  <c r="N6" i="1"/>
  <c r="O6" i="1"/>
  <c r="P6" i="1"/>
  <c r="Q6" i="1"/>
  <c r="R6" i="1"/>
  <c r="L7" i="1"/>
  <c r="M7" i="1"/>
  <c r="N7" i="1"/>
  <c r="O7" i="1"/>
  <c r="P7" i="1"/>
  <c r="Q7" i="1"/>
  <c r="R7" i="1"/>
  <c r="L8" i="1"/>
  <c r="M8" i="1"/>
  <c r="N8" i="1"/>
  <c r="O8" i="1"/>
  <c r="P8" i="1"/>
  <c r="Q8" i="1"/>
  <c r="R8" i="1"/>
  <c r="M9" i="1"/>
  <c r="L9" i="1"/>
  <c r="N9" i="1"/>
  <c r="O9" i="1"/>
  <c r="P9" i="1"/>
  <c r="Q9" i="1"/>
  <c r="R9" i="1"/>
  <c r="M10" i="1"/>
  <c r="L10" i="1"/>
  <c r="N10" i="1"/>
  <c r="O10" i="1"/>
  <c r="P10" i="1"/>
  <c r="Q10" i="1"/>
  <c r="R10" i="1"/>
  <c r="L11" i="1"/>
  <c r="M11" i="1"/>
  <c r="N11" i="1"/>
  <c r="O11" i="1"/>
  <c r="P11" i="1"/>
  <c r="Q11" i="1"/>
  <c r="R11" i="1"/>
  <c r="L12" i="1"/>
  <c r="M12" i="1"/>
  <c r="N12" i="1"/>
  <c r="O12" i="1"/>
  <c r="P12" i="1"/>
  <c r="Q12" i="1"/>
  <c r="R12" i="1"/>
  <c r="L13" i="1"/>
  <c r="M13" i="1"/>
  <c r="N13" i="1"/>
  <c r="O13" i="1"/>
  <c r="P13" i="1"/>
  <c r="Q13" i="1"/>
  <c r="R13" i="1"/>
  <c r="L14" i="1"/>
  <c r="M14" i="1"/>
  <c r="N14" i="1"/>
  <c r="O14" i="1"/>
  <c r="P14" i="1"/>
  <c r="Q14" i="1"/>
  <c r="R14" i="1"/>
  <c r="M15" i="1"/>
  <c r="L15" i="1"/>
  <c r="N15" i="1"/>
  <c r="O15" i="1"/>
  <c r="P15" i="1"/>
  <c r="Q15" i="1"/>
  <c r="R15" i="1"/>
  <c r="M16" i="1"/>
  <c r="L16" i="1"/>
  <c r="N16" i="1"/>
  <c r="O16" i="1"/>
  <c r="P16" i="1"/>
  <c r="Q16" i="1"/>
  <c r="R16" i="1"/>
  <c r="L17" i="1"/>
  <c r="M17" i="1"/>
  <c r="N17" i="1"/>
  <c r="O17" i="1"/>
  <c r="P17" i="1"/>
  <c r="Q17" i="1"/>
  <c r="R17" i="1"/>
  <c r="L18" i="1"/>
  <c r="M18" i="1"/>
  <c r="N18" i="1"/>
  <c r="O18" i="1"/>
  <c r="P18" i="1"/>
  <c r="Q18" i="1"/>
  <c r="R18" i="1"/>
  <c r="L19" i="1"/>
  <c r="M19" i="1"/>
  <c r="N19" i="1"/>
  <c r="O19" i="1"/>
  <c r="P19" i="1"/>
  <c r="Q19" i="1"/>
  <c r="R19" i="1"/>
  <c r="L20" i="1"/>
  <c r="M20" i="1"/>
  <c r="N20" i="1"/>
  <c r="O20" i="1"/>
  <c r="P20" i="1"/>
  <c r="Q20" i="1"/>
  <c r="R20" i="1"/>
  <c r="M21" i="1"/>
  <c r="L21" i="1"/>
  <c r="N21" i="1"/>
  <c r="O21" i="1"/>
  <c r="P21" i="1"/>
  <c r="Q21" i="1"/>
  <c r="R21" i="1"/>
  <c r="M22" i="1"/>
  <c r="L22" i="1"/>
  <c r="N22" i="1"/>
  <c r="O22" i="1"/>
  <c r="P22" i="1"/>
  <c r="Q22" i="1"/>
  <c r="R22" i="1"/>
  <c r="L23" i="1"/>
  <c r="M23" i="1"/>
  <c r="N23" i="1"/>
  <c r="O23" i="1"/>
  <c r="P23" i="1"/>
  <c r="Q23" i="1"/>
  <c r="R23" i="1"/>
  <c r="L24" i="1"/>
  <c r="M24" i="1"/>
  <c r="N24" i="1"/>
  <c r="O24" i="1"/>
  <c r="P24" i="1"/>
  <c r="Q24" i="1"/>
  <c r="R24" i="1"/>
  <c r="L25" i="1"/>
  <c r="M25" i="1"/>
  <c r="N25" i="1"/>
  <c r="O25" i="1"/>
  <c r="P25" i="1"/>
  <c r="Q25" i="1"/>
  <c r="R25" i="1"/>
  <c r="L26" i="1"/>
  <c r="M26" i="1"/>
  <c r="N26" i="1"/>
  <c r="O26" i="1"/>
  <c r="P26" i="1"/>
  <c r="Q26" i="1"/>
  <c r="R26" i="1"/>
  <c r="M27" i="1"/>
  <c r="L27" i="1"/>
  <c r="N27" i="1"/>
  <c r="O27" i="1"/>
  <c r="P27" i="1"/>
  <c r="Q27" i="1"/>
  <c r="R27" i="1"/>
  <c r="M28" i="1"/>
  <c r="L28" i="1"/>
  <c r="N28" i="1"/>
  <c r="O28" i="1"/>
  <c r="P28" i="1"/>
  <c r="Q28" i="1"/>
  <c r="R28" i="1"/>
  <c r="L29" i="1"/>
  <c r="M29" i="1"/>
  <c r="N29" i="1"/>
  <c r="O29" i="1"/>
  <c r="P29" i="1"/>
  <c r="Q29" i="1"/>
  <c r="R29" i="1"/>
  <c r="L30" i="1"/>
  <c r="M30" i="1"/>
  <c r="N30" i="1"/>
  <c r="O30" i="1"/>
  <c r="P30" i="1"/>
  <c r="Q30" i="1"/>
  <c r="R30" i="1"/>
  <c r="L31" i="1"/>
  <c r="M31" i="1"/>
  <c r="N31" i="1"/>
  <c r="O31" i="1"/>
  <c r="P31" i="1"/>
  <c r="Q31" i="1"/>
  <c r="R31" i="1"/>
  <c r="L2" i="1"/>
  <c r="M2" i="1"/>
  <c r="O2" i="1"/>
  <c r="P2" i="1"/>
  <c r="Q2" i="1"/>
  <c r="R2" i="1"/>
  <c r="S2" i="1"/>
  <c r="Y4" i="1" l="1"/>
</calcChain>
</file>

<file path=xl/sharedStrings.xml><?xml version="1.0" encoding="utf-8"?>
<sst xmlns="http://schemas.openxmlformats.org/spreadsheetml/2006/main" count="267" uniqueCount="140">
  <si>
    <t>EmpID</t>
  </si>
  <si>
    <t>Name</t>
  </si>
  <si>
    <t>Department</t>
  </si>
  <si>
    <t>City</t>
  </si>
  <si>
    <t>JoinDate</t>
  </si>
  <si>
    <t>MonthlySales</t>
  </si>
  <si>
    <t>Target</t>
  </si>
  <si>
    <t>Rating</t>
  </si>
  <si>
    <t>MUM-HRD-1017</t>
  </si>
  <si>
    <t>Kavya Suresh</t>
  </si>
  <si>
    <t>HR</t>
  </si>
  <si>
    <t>Mumbai</t>
  </si>
  <si>
    <t>KOC-MKT-1036</t>
  </si>
  <si>
    <t>Divya Thomas</t>
  </si>
  <si>
    <t>Marketing</t>
  </si>
  <si>
    <t>Kochi</t>
  </si>
  <si>
    <t>BLR-SAL-1055</t>
  </si>
  <si>
    <t>Lakshmi Reddy</t>
  </si>
  <si>
    <t>Sales</t>
  </si>
  <si>
    <t>Bangalore</t>
  </si>
  <si>
    <t>DEL-SAL-1060</t>
  </si>
  <si>
    <t>tara Panicker</t>
  </si>
  <si>
    <t>Delhi</t>
  </si>
  <si>
    <t>KOC-HRD-1077</t>
  </si>
  <si>
    <t>sneha Varma</t>
  </si>
  <si>
    <t>MUM-ITD-1094</t>
  </si>
  <si>
    <t>Naveen Kumar</t>
  </si>
  <si>
    <t>IT</t>
  </si>
  <si>
    <t>DEL-MKT-1102</t>
  </si>
  <si>
    <t>Anjali George</t>
  </si>
  <si>
    <t>CHN-SUP-1117</t>
  </si>
  <si>
    <t>raj Das</t>
  </si>
  <si>
    <t>Support</t>
  </si>
  <si>
    <t>Chennai</t>
  </si>
  <si>
    <t>KOC-MKT-1124</t>
  </si>
  <si>
    <t>nisha Bose</t>
  </si>
  <si>
    <t>DEL-SUP-1131</t>
  </si>
  <si>
    <t>Vishnu Rao</t>
  </si>
  <si>
    <t>DEL-ITD-1139</t>
  </si>
  <si>
    <t>sara Bhat</t>
  </si>
  <si>
    <t>MUM-ITD-1152</t>
  </si>
  <si>
    <t>MANOJ Kurian</t>
  </si>
  <si>
    <t>KOC-HRD-1167</t>
  </si>
  <si>
    <t>JITHIN Nambiar</t>
  </si>
  <si>
    <t>CHN-SAL-1176</t>
  </si>
  <si>
    <t>Sandeep Mathew</t>
  </si>
  <si>
    <t>BLR-ITD-1183</t>
  </si>
  <si>
    <t>reema Achari</t>
  </si>
  <si>
    <t>CHN-ITD-1198</t>
  </si>
  <si>
    <t>Arun Pillai</t>
  </si>
  <si>
    <t>BLR-SAL-1216</t>
  </si>
  <si>
    <t>anu Sharma</t>
  </si>
  <si>
    <t>BLR-MKT-1227</t>
  </si>
  <si>
    <t>KIRAN Menon</t>
  </si>
  <si>
    <t>KOC-MKT-1234</t>
  </si>
  <si>
    <t>ROHAN Warrier</t>
  </si>
  <si>
    <t>MUM-ITD-1248</t>
  </si>
  <si>
    <t>Pooja Pai</t>
  </si>
  <si>
    <t>KOC-MKT-1258</t>
  </si>
  <si>
    <t>Vivek Chandran</t>
  </si>
  <si>
    <t>CHN-ITD-1276</t>
  </si>
  <si>
    <t>Fathima Shetty</t>
  </si>
  <si>
    <t>MUM-SUP-1290</t>
  </si>
  <si>
    <t>MEERA Iyer</t>
  </si>
  <si>
    <t>BLR-SUP-1308</t>
  </si>
  <si>
    <t>deepa Krishnan</t>
  </si>
  <si>
    <t>MUM-SAL-1314</t>
  </si>
  <si>
    <t>Anit Devan</t>
  </si>
  <si>
    <t>DEL-MKT-1319</t>
  </si>
  <si>
    <t>priya Raj</t>
  </si>
  <si>
    <t>CHN-SUP-1322</t>
  </si>
  <si>
    <t>Suresh Nair</t>
  </si>
  <si>
    <t>KOC-HRD-1336</t>
  </si>
  <si>
    <t>GOKUL Joseph</t>
  </si>
  <si>
    <t>BLR-ITD-1343</t>
  </si>
  <si>
    <t>arjun Nayar</t>
  </si>
  <si>
    <t>CHN-MKT-1362</t>
  </si>
  <si>
    <t>rahul Pillai</t>
  </si>
  <si>
    <t>Excel Practice Assignment</t>
  </si>
  <si>
    <t>Work inside the Data sheet unless a task tells you otherwise. Department Info and City Info are separate reference sheets you'll need for the lookup tasks.</t>
  </si>
  <si>
    <t>New columns — add these to the Data sheet, right after Location_Dept, and fill every row:</t>
  </si>
  <si>
    <t>Add a column 'Status' that shows whether each employee met their target: display 'Achieved' if their sales are equal to or greater than target, otherwise 'Not Achieved'.</t>
  </si>
  <si>
    <t>Add a column 'Grade' that shows 'Excellent' if rating is 5, 'Good' if rating is 3 or 4, and 'Needs Improvement' otherwise.</t>
  </si>
  <si>
    <t>Add a column 'Top Performer' that shows 'Yes' only for employees who both achieved their target and have a rating of 4 or above; everyone else should show 'No'.</t>
  </si>
  <si>
    <t>Add a column 'Achievement %' showing sales as a percentage of target. Make sure the formula still shows a result instead of an error for any row where target might be zero.</t>
  </si>
  <si>
    <t>Add a column 'City Code' that pulls out just the 3-letter city code from the front of each EmpID.</t>
  </si>
  <si>
    <t>Add a column 'Serial No' that pulls out the number at the end of each EmpID.</t>
  </si>
  <si>
    <t>Add a column 'Formal Name' that converts each Name to proper case (first letter of each word capitalised), suitable for an official report.</t>
  </si>
  <si>
    <t>Add a column 'Join Year' that pulls out just the year from each employee's JoinDate.</t>
  </si>
  <si>
    <t>Cross-sheet lookups — add these two columns to the Data sheet as well:</t>
  </si>
  <si>
    <t>Add a column 'Floor' that automatically fetches each employee's floor number by matching their Department against the table in the Department Info sheet.</t>
  </si>
  <si>
    <t>Add a column 'Region' that automatically fetches each employee's region by matching their City against the table in the City Info sheet. Notice that this table is laid out sideways rather than in columns.</t>
  </si>
  <si>
    <t>Summary — answer these below the table, in the Data sheet (leave the formula in the cell, not just the number):</t>
  </si>
  <si>
    <t>In a cell of your choice, calculate the total MonthlySales across all employees.</t>
  </si>
  <si>
    <t>Find the average Rating of employees working in the Sales department only.</t>
  </si>
  <si>
    <t>Find the highest MonthlySales among employees who joined in 2023 or later.</t>
  </si>
  <si>
    <t>Count how many employees are based in Bangalore or Chennai AND have a rating of 4 or higher.</t>
  </si>
  <si>
    <t>Formatting &amp; data tools — apply directly on the Data sheet:</t>
  </si>
  <si>
    <t>Highlight, in a colour of your choice, every row where Status is 'Not Achieved'.</t>
  </si>
  <si>
    <t>Restrict the Department column to only accept the five valid department names, so a typo can't be entered.</t>
  </si>
  <si>
    <t>Convert the main data range into a proper Excel Table so it can be filtered and totalled easily.</t>
  </si>
  <si>
    <t>Split the Location_Dept column into two separate columns — City and Department — using the built-in tool for splitting text by a delimiter.</t>
  </si>
  <si>
    <t>Freeze the header row so it stays visible while you scroll through the table.</t>
  </si>
  <si>
    <t>Head of Department</t>
  </si>
  <si>
    <t>Floor</t>
  </si>
  <si>
    <t>Annual Budget (Lakhs)</t>
  </si>
  <si>
    <t>Ramesh Iyer</t>
  </si>
  <si>
    <t>2nd Floor</t>
  </si>
  <si>
    <t>Anita Menon</t>
  </si>
  <si>
    <t>1st Floor</t>
  </si>
  <si>
    <t>Sunil Varma</t>
  </si>
  <si>
    <t>3rd Floor</t>
  </si>
  <si>
    <t>Geetha Pillai</t>
  </si>
  <si>
    <t>Vinod Rao</t>
  </si>
  <si>
    <t>4th Floor</t>
  </si>
  <si>
    <t>Region</t>
  </si>
  <si>
    <t>South</t>
  </si>
  <si>
    <t>West</t>
  </si>
  <si>
    <t>North</t>
  </si>
  <si>
    <t>Regional Manager</t>
  </si>
  <si>
    <t>Sameer Nair</t>
  </si>
  <si>
    <t>Divya Rao</t>
  </si>
  <si>
    <t>Karan Shah</t>
  </si>
  <si>
    <t>Neha Gupta</t>
  </si>
  <si>
    <t>Thomas John</t>
  </si>
  <si>
    <t>Status</t>
  </si>
  <si>
    <t>Grade</t>
  </si>
  <si>
    <t>Top Performer</t>
  </si>
  <si>
    <t>Achievement%</t>
  </si>
  <si>
    <t>City Code</t>
  </si>
  <si>
    <t>Serial no</t>
  </si>
  <si>
    <t>Formal name</t>
  </si>
  <si>
    <t>Join Year</t>
  </si>
  <si>
    <t>Column</t>
  </si>
  <si>
    <t>total monthly sale</t>
  </si>
  <si>
    <t>average rating of employees working on Sales dept</t>
  </si>
  <si>
    <t>Highest monthly sales (joined in 2023 or later)</t>
  </si>
  <si>
    <t>City2</t>
  </si>
  <si>
    <t>Department2</t>
  </si>
  <si>
    <t>number of employees(Chennai or Bangalore)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</si>
</sst>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charset val="1"/>
    </font>
    <font>
      <b/>
      <sz val="11"/>
      <color rgb="FFFFFFFF"/>
      <name val="Arial"/>
      <family val="2"/>
    </font>
    <font>
      <sz val="11"/>
      <name val="Arial"/>
      <family val="2"/>
    </font>
    <font>
      <b/>
      <sz val="14"/>
      <color rgb="FF2F5496"/>
      <name val="Arial"/>
      <family val="2"/>
    </font>
    <font>
      <i/>
      <sz val="10"/>
      <color rgb="FF595959"/>
      <name val="Arial"/>
      <family val="2"/>
    </font>
    <font>
      <b/>
      <sz val="11"/>
      <color rgb="FF2F5496"/>
      <name val="Arial"/>
      <family val="2"/>
    </font>
    <font>
      <b/>
      <sz val="11"/>
      <name val="Arial"/>
      <family val="2"/>
    </font>
    <font>
      <sz val="11"/>
      <color theme="1"/>
      <name val="Calibri"/>
      <family val="2"/>
    </font>
  </fonts>
  <fills count="3">
    <fill>
      <patternFill patternType="none"/>
    </fill>
    <fill>
      <patternFill patternType="gray125"/>
    </fill>
    <fill>
      <patternFill patternType="solid">
        <fgColor rgb="FF2F5496"/>
        <bgColor rgb="FF595959"/>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xf>
    <xf numFmtId="0" fontId="2" fillId="0" borderId="1" xfId="0" applyFont="1" applyBorder="1"/>
    <xf numFmtId="164" fontId="2" fillId="0" borderId="1" xfId="0" applyNumberFormat="1" applyFont="1" applyBorder="1"/>
    <xf numFmtId="3" fontId="2" fillId="0" borderId="1" xfId="0" applyNumberFormat="1" applyFont="1" applyBorder="1"/>
    <xf numFmtId="0" fontId="5" fillId="0" borderId="0" xfId="0" applyFont="1"/>
    <xf numFmtId="0" fontId="1" fillId="2" borderId="0" xfId="0" applyFont="1" applyFill="1" applyAlignment="1">
      <alignment horizontal="center" vertical="center"/>
    </xf>
    <xf numFmtId="0" fontId="2" fillId="0" borderId="0" xfId="0" applyFont="1" applyAlignment="1">
      <alignment vertical="center" wrapText="1"/>
    </xf>
    <xf numFmtId="0" fontId="6" fillId="0" borderId="1" xfId="0"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2" fillId="0" borderId="7" xfId="0" applyFont="1" applyBorder="1"/>
    <xf numFmtId="0" fontId="2" fillId="0" borderId="8" xfId="0" applyFont="1" applyBorder="1"/>
    <xf numFmtId="164" fontId="2" fillId="0" borderId="8" xfId="0" applyNumberFormat="1" applyFont="1" applyBorder="1"/>
    <xf numFmtId="3" fontId="2" fillId="0" borderId="8" xfId="0" applyNumberFormat="1" applyFont="1" applyBorder="1"/>
    <xf numFmtId="0" fontId="2" fillId="0" borderId="9" xfId="0" applyFont="1" applyBorder="1"/>
    <xf numFmtId="0" fontId="2" fillId="0" borderId="0" xfId="0" applyFont="1"/>
    <xf numFmtId="10" fontId="2" fillId="0" borderId="0" xfId="0" applyNumberFormat="1" applyFont="1"/>
    <xf numFmtId="3" fontId="0" fillId="0" borderId="0" xfId="0" applyNumberFormat="1"/>
    <xf numFmtId="0" fontId="7" fillId="0" borderId="0" xfId="0" applyFont="1"/>
    <xf numFmtId="0" fontId="3" fillId="0" borderId="0" xfId="0" applyFont="1"/>
    <xf numFmtId="0" fontId="4" fillId="0" borderId="0" xfId="0" applyFont="1"/>
  </cellXfs>
  <cellStyles count="1">
    <cellStyle name="Normal" xfId="0" builtinId="0"/>
  </cellStyles>
  <dxfs count="30">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numFmt numFmtId="0" formatCode="General"/>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numFmt numFmtId="3" formatCode="#,##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numFmt numFmtId="3" formatCode="#,##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numFmt numFmtId="164" formatCode="dd\-mmm\-yyyy"/>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rial"/>
        <family val="2"/>
        <scheme val="none"/>
      </font>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1"/>
        <color auto="1"/>
        <name val="Arial"/>
        <family val="2"/>
        <scheme val="none"/>
      </font>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rgb="FF595959"/>
          <bgColor rgb="FF2F5496"/>
        </patternFill>
      </fill>
      <alignment horizontal="center" vertical="bottom" textRotation="0" wrapText="0"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082C1E-D434-4420-9CD6-82E7923BB25D}" name="Table1" displayName="Table1" ref="A1:U32" totalsRowShown="0" headerRowDxfId="29" dataDxfId="27" headerRowBorderDxfId="28" tableBorderDxfId="26" totalsRowBorderDxfId="25">
  <autoFilter ref="A1:U32" xr:uid="{65082C1E-D434-4420-9CD6-82E7923BB25D}"/>
  <tableColumns count="21">
    <tableColumn id="1" xr3:uid="{9364A4AE-0CEA-4A5D-9C15-7DC8DD6D2DEB}" name="EmpID" dataDxfId="24"/>
    <tableColumn id="2" xr3:uid="{D65AD09A-E72D-48C2-A681-D38D953D4613}" name="Name" dataDxfId="23"/>
    <tableColumn id="3" xr3:uid="{762ACAAD-35A2-4C7B-850B-BCC60DEC0C99}" name="Department" dataDxfId="22"/>
    <tableColumn id="4" xr3:uid="{47E74124-DC03-483A-AA61-321741E27D62}" name="City" dataDxfId="21"/>
    <tableColumn id="5" xr3:uid="{45BC19A3-BE43-4C44-8E27-0E95D48C324D}" name="JoinDate" dataDxfId="20"/>
    <tableColumn id="6" xr3:uid="{B6318386-EB86-44C1-A836-B3AC176503B0}" name="MonthlySales" dataDxfId="19"/>
    <tableColumn id="7" xr3:uid="{4DDB705E-8C4D-48DB-8599-521384B5C9E9}" name="Target" dataDxfId="18"/>
    <tableColumn id="8" xr3:uid="{5DC069E5-41F0-4F81-BF49-6D774B2F4F83}" name="Rating" dataDxfId="17"/>
    <tableColumn id="9" xr3:uid="{BF312EB5-83C0-4468-901E-98740B37CDF6}" name="City2" dataDxfId="16"/>
    <tableColumn id="23" xr3:uid="{DEB72C08-45A1-47C7-83D9-26FA86B2B986}" name="Department2" dataDxfId="15"/>
    <tableColumn id="10" xr3:uid="{500232AE-0C11-4447-A436-0C8914D00378}" name="Status" dataDxfId="14">
      <calculatedColumnFormula>IF(Table1[[#This Row],[MonthlySales]]&gt;=Table1[[#This Row],[Target]],"Achieved","Not Achieved")</calculatedColumnFormula>
    </tableColumn>
    <tableColumn id="11" xr3:uid="{095F32B5-A99D-4630-A659-62EFC1059E1D}" name="Grade" dataDxfId="13">
      <calculatedColumnFormula>IF(Table1[[#This Row],[Rating]]=5,"Excellent",IF(OR(Table1[[#This Row],[Rating]]=3,Table1[[#This Row],[Rating]]=4),"Good","Needs Improvement"))</calculatedColumnFormula>
    </tableColumn>
    <tableColumn id="12" xr3:uid="{B4F1C87D-38EA-4C1F-88A2-8678CBE36169}" name="Top Performer" dataDxfId="12">
      <calculatedColumnFormula>IF(OR(Table1[[#This Row],[Status]],Table1[[#This Row],[Rating]]&gt;=4),"Yes","No")</calculatedColumnFormula>
    </tableColumn>
    <tableColumn id="13" xr3:uid="{A79BA34F-AE50-4A7F-8798-2B6E1EAF53AF}" name="Achievement%" dataDxfId="11">
      <calculatedColumnFormula>IFERROR(Table1[[#This Row],[MonthlySales]]/Table1[[#This Row],[Target]],0)</calculatedColumnFormula>
    </tableColumn>
    <tableColumn id="14" xr3:uid="{BFBBB857-AC74-4BD5-821B-F08653BB908F}" name="City Code" dataDxfId="10">
      <calculatedColumnFormula>LEFT(Table1[[#This Row],[EmpID]],3)</calculatedColumnFormula>
    </tableColumn>
    <tableColumn id="15" xr3:uid="{A1D77A8F-1512-4464-9E99-4FF11A045F36}" name="Serial no" dataDxfId="9">
      <calculatedColumnFormula>RIGHT(Table1[[#This Row],[EmpID]],3)</calculatedColumnFormula>
    </tableColumn>
    <tableColumn id="16" xr3:uid="{36185A95-41B0-4124-8FF7-21C0E9BF2B74}" name="Formal name" dataDxfId="8">
      <calculatedColumnFormula>PROPER(Table1[[#This Row],[Name]])</calculatedColumnFormula>
    </tableColumn>
    <tableColumn id="17" xr3:uid="{49180B3A-CF7D-4371-BC40-1D019075A5AA}" name="Join Year" dataDxfId="7">
      <calculatedColumnFormula>YEAR(Table1[[#This Row],[JoinDate]])</calculatedColumnFormula>
    </tableColumn>
    <tableColumn id="18" xr3:uid="{190BA30A-6BDF-412C-B9C5-5CE4B1F38CB7}" name="Floor" dataDxfId="6">
      <calculatedColumnFormula>VLOOKUP(Table1[[#This Row],[Department]],'Department Info'!$A$1:$D$6,3,FALSE)</calculatedColumnFormula>
    </tableColumn>
    <tableColumn id="19" xr3:uid="{EB263AFF-5561-4D15-97AC-DBCDB1E0EC75}" name="Region" dataDxfId="5">
      <calculatedColumnFormula>HLOOKUP(Table1[[#This Row],[City]],'City Info'!$A$1:$F$3,2,FALSE)</calculatedColumnFormula>
    </tableColumn>
    <tableColumn id="20" xr3:uid="{8E4615B3-BF47-4765-B620-6EDB8B20763D}" name="Column"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2"/>
  <sheetViews>
    <sheetView tabSelected="1" topLeftCell="J1" zoomScale="90" zoomScaleNormal="100" workbookViewId="0">
      <pane ySplit="1" topLeftCell="A4" activePane="bottomLeft" state="frozen"/>
      <selection activeCell="E1" sqref="E1"/>
      <selection pane="bottomLeft" activeCell="AA9" sqref="AA9"/>
    </sheetView>
  </sheetViews>
  <sheetFormatPr defaultColWidth="8.6640625" defaultRowHeight="14.4" x14ac:dyDescent="0.3"/>
  <cols>
    <col min="1" max="1" width="14" customWidth="1"/>
    <col min="2" max="2" width="18" customWidth="1"/>
    <col min="3" max="3" width="14.33203125" customWidth="1"/>
    <col min="4" max="4" width="12" customWidth="1"/>
    <col min="5" max="5" width="13" customWidth="1"/>
    <col min="6" max="6" width="18.6640625" bestFit="1" customWidth="1"/>
    <col min="7" max="7" width="11.6640625" bestFit="1" customWidth="1"/>
    <col min="8" max="8" width="9.109375" customWidth="1"/>
    <col min="9" max="10" width="20" customWidth="1"/>
    <col min="11" max="11" width="13.77734375" customWidth="1"/>
    <col min="12" max="12" width="18.88671875" bestFit="1" customWidth="1"/>
    <col min="13" max="13" width="19.6640625" bestFit="1" customWidth="1"/>
    <col min="14" max="14" width="20.44140625" bestFit="1" customWidth="1"/>
    <col min="15" max="15" width="15" bestFit="1" customWidth="1"/>
    <col min="16" max="16" width="14" bestFit="1" customWidth="1"/>
    <col min="17" max="17" width="18.33203125" bestFit="1" customWidth="1"/>
    <col min="18" max="18" width="14.6640625" bestFit="1" customWidth="1"/>
    <col min="19" max="19" width="10.44140625" bestFit="1" customWidth="1"/>
    <col min="20" max="20" width="20.6640625" customWidth="1"/>
    <col min="21" max="21" width="0" hidden="1" customWidth="1"/>
    <col min="24" max="24" width="43" bestFit="1" customWidth="1"/>
    <col min="25" max="25" width="8.88671875" bestFit="1" customWidth="1"/>
    <col min="29" max="29" width="16.88671875" bestFit="1" customWidth="1"/>
    <col min="30" max="30" width="9.88671875" bestFit="1" customWidth="1"/>
  </cols>
  <sheetData>
    <row r="1" spans="1:30" x14ac:dyDescent="0.3">
      <c r="A1" s="11" t="s">
        <v>0</v>
      </c>
      <c r="B1" s="12" t="s">
        <v>1</v>
      </c>
      <c r="C1" s="12" t="s">
        <v>2</v>
      </c>
      <c r="D1" s="12" t="s">
        <v>3</v>
      </c>
      <c r="E1" s="12" t="s">
        <v>4</v>
      </c>
      <c r="F1" s="12" t="s">
        <v>5</v>
      </c>
      <c r="G1" s="12" t="s">
        <v>6</v>
      </c>
      <c r="H1" s="12" t="s">
        <v>7</v>
      </c>
      <c r="I1" s="13" t="s">
        <v>137</v>
      </c>
      <c r="J1" s="13" t="s">
        <v>138</v>
      </c>
      <c r="K1" s="12" t="s">
        <v>125</v>
      </c>
      <c r="L1" s="12" t="s">
        <v>126</v>
      </c>
      <c r="M1" s="12" t="s">
        <v>127</v>
      </c>
      <c r="N1" s="12" t="s">
        <v>128</v>
      </c>
      <c r="O1" s="12" t="s">
        <v>129</v>
      </c>
      <c r="P1" s="12" t="s">
        <v>130</v>
      </c>
      <c r="Q1" s="12" t="s">
        <v>131</v>
      </c>
      <c r="R1" s="12" t="s">
        <v>132</v>
      </c>
      <c r="S1" s="12" t="s">
        <v>104</v>
      </c>
      <c r="T1" s="12" t="s">
        <v>115</v>
      </c>
      <c r="U1" s="12" t="s">
        <v>133</v>
      </c>
    </row>
    <row r="2" spans="1:30" x14ac:dyDescent="0.3">
      <c r="A2" s="9" t="s">
        <v>8</v>
      </c>
      <c r="B2" s="2" t="s">
        <v>9</v>
      </c>
      <c r="C2" s="2" t="s">
        <v>10</v>
      </c>
      <c r="D2" s="2" t="s">
        <v>11</v>
      </c>
      <c r="E2" s="3">
        <v>44689</v>
      </c>
      <c r="F2" s="4">
        <v>36400</v>
      </c>
      <c r="G2" s="4">
        <v>44900</v>
      </c>
      <c r="H2" s="2">
        <v>1</v>
      </c>
      <c r="I2" s="10" t="s">
        <v>11</v>
      </c>
      <c r="J2" s="19" t="s">
        <v>10</v>
      </c>
      <c r="K2" s="19" t="str">
        <f>IF(Table1[[#This Row],[MonthlySales]]&gt;=Table1[[#This Row],[Target]],"Achieved","Not Achieved")</f>
        <v>Not Achieved</v>
      </c>
      <c r="L2" s="19" t="str">
        <f>IF(Table1[[#This Row],[Rating]]=5,"Excellent",IF(OR(Table1[[#This Row],[Rating]]=3,Table1[[#This Row],[Rating]]=4),"Good","Needs Improvement"))</f>
        <v>Needs Improvement</v>
      </c>
      <c r="M2" s="19" t="str">
        <f>IF(OR(Table1[[#This Row],[Status]],Table1[[#This Row],[Rating]]&gt;=4),"Yes","No")</f>
        <v>No</v>
      </c>
      <c r="N2" s="20">
        <f>IFERROR(Table1[[#This Row],[MonthlySales]]/Table1[[#This Row],[Target]],0)</f>
        <v>0.81069042316258355</v>
      </c>
      <c r="O2" s="19" t="str">
        <f>LEFT(Table1[[#This Row],[EmpID]],3)</f>
        <v>MUM</v>
      </c>
      <c r="P2" s="19" t="str">
        <f>RIGHT(Table1[[#This Row],[EmpID]],3)</f>
        <v>017</v>
      </c>
      <c r="Q2" s="19" t="str">
        <f>PROPER(Table1[[#This Row],[Name]])</f>
        <v>Kavya Suresh</v>
      </c>
      <c r="R2" s="19">
        <f>YEAR(Table1[[#This Row],[JoinDate]])</f>
        <v>2022</v>
      </c>
      <c r="S2" s="19" t="str">
        <f>VLOOKUP(Table1[[#This Row],[Department]],'Department Info'!$A$1:$D$6,3,FALSE)</f>
        <v>1st Floor</v>
      </c>
      <c r="T2" s="19" t="str">
        <f>HLOOKUP(Table1[[#This Row],[City]],'City Info'!$A$1:$F$3,2,FALSE)</f>
        <v>West</v>
      </c>
      <c r="U2" s="19"/>
      <c r="X2" s="22"/>
      <c r="Y2" s="21"/>
    </row>
    <row r="3" spans="1:30" x14ac:dyDescent="0.3">
      <c r="A3" s="9" t="s">
        <v>12</v>
      </c>
      <c r="B3" s="2" t="s">
        <v>13</v>
      </c>
      <c r="C3" s="2" t="s">
        <v>14</v>
      </c>
      <c r="D3" s="2" t="s">
        <v>15</v>
      </c>
      <c r="E3" s="3">
        <v>45101</v>
      </c>
      <c r="F3" s="4">
        <v>63900</v>
      </c>
      <c r="G3" s="4">
        <v>49400</v>
      </c>
      <c r="H3" s="2">
        <v>5</v>
      </c>
      <c r="I3" s="10" t="s">
        <v>15</v>
      </c>
      <c r="J3" s="19" t="s">
        <v>14</v>
      </c>
      <c r="K3" s="19" t="str">
        <f>IF(Table1[[#This Row],[MonthlySales]]&gt;=Table1[[#This Row],[Target]],"Achieved","Not Achieved")</f>
        <v>Achieved</v>
      </c>
      <c r="L3" s="19" t="str">
        <f>IF(Table1[[#This Row],[Rating]]=5,"Excellent",IF(OR(Table1[[#This Row],[Rating]]=3,Table1[[#This Row],[Rating]]=4),"Good","Needs Improvement"))</f>
        <v>Excellent</v>
      </c>
      <c r="M3" s="19" t="str">
        <f>IF(OR(Table1[[#This Row],[Status]],Table1[[#This Row],[Rating]]&gt;=4),"Yes","No")</f>
        <v>Yes</v>
      </c>
      <c r="N3" s="20">
        <f>IFERROR(Table1[[#This Row],[MonthlySales]]/Table1[[#This Row],[Target]],0)</f>
        <v>1.2935222672064777</v>
      </c>
      <c r="O3" s="19" t="str">
        <f>LEFT(Table1[[#This Row],[EmpID]],3)</f>
        <v>KOC</v>
      </c>
      <c r="P3" s="19" t="str">
        <f>RIGHT(Table1[[#This Row],[EmpID]],3)</f>
        <v>036</v>
      </c>
      <c r="Q3" s="19" t="str">
        <f>PROPER(Table1[[#This Row],[Name]])</f>
        <v>Divya Thomas</v>
      </c>
      <c r="R3" s="19">
        <f>YEAR(Table1[[#This Row],[JoinDate]])</f>
        <v>2023</v>
      </c>
      <c r="S3" s="19" t="str">
        <f>VLOOKUP(Table1[[#This Row],[Department]],'Department Info'!$A$1:$D$6,3,FALSE)</f>
        <v>3rd Floor</v>
      </c>
      <c r="T3" s="19" t="str">
        <f>HLOOKUP(Table1[[#This Row],[City]],'City Info'!$A$1:$F$3,2,FALSE)</f>
        <v>South</v>
      </c>
      <c r="U3" s="19"/>
      <c r="X3" t="s">
        <v>135</v>
      </c>
      <c r="Y3">
        <f>AVERAGEIF(Table1[Department],"Sales",H:H)</f>
        <v>3.6</v>
      </c>
    </row>
    <row r="4" spans="1:30" x14ac:dyDescent="0.3">
      <c r="A4" s="9" t="s">
        <v>16</v>
      </c>
      <c r="B4" s="2" t="s">
        <v>17</v>
      </c>
      <c r="C4" s="2" t="s">
        <v>18</v>
      </c>
      <c r="D4" s="2" t="s">
        <v>19</v>
      </c>
      <c r="E4" s="3">
        <v>45010</v>
      </c>
      <c r="F4" s="4">
        <v>53000</v>
      </c>
      <c r="G4" s="4">
        <v>35500</v>
      </c>
      <c r="H4" s="2">
        <v>4</v>
      </c>
      <c r="I4" s="10" t="s">
        <v>19</v>
      </c>
      <c r="J4" s="19" t="s">
        <v>18</v>
      </c>
      <c r="K4" s="19" t="str">
        <f>IF(Table1[[#This Row],[MonthlySales]]&gt;=Table1[[#This Row],[Target]],"Achieved","Not Achieved")</f>
        <v>Achieved</v>
      </c>
      <c r="L4" s="19" t="str">
        <f>IF(Table1[[#This Row],[Rating]]=5,"Excellent",IF(OR(Table1[[#This Row],[Rating]]=3,Table1[[#This Row],[Rating]]=4),"Good","Needs Improvement"))</f>
        <v>Good</v>
      </c>
      <c r="M4" s="19" t="str">
        <f>IF(OR(Table1[[#This Row],[Status]],Table1[[#This Row],[Rating]]&gt;=4),"Yes","No")</f>
        <v>Yes</v>
      </c>
      <c r="N4" s="20">
        <f>IFERROR(Table1[[#This Row],[MonthlySales]]/Table1[[#This Row],[Target]],0)</f>
        <v>1.4929577464788732</v>
      </c>
      <c r="O4" s="19" t="str">
        <f>LEFT(Table1[[#This Row],[EmpID]],3)</f>
        <v>BLR</v>
      </c>
      <c r="P4" s="19" t="str">
        <f>RIGHT(Table1[[#This Row],[EmpID]],3)</f>
        <v>055</v>
      </c>
      <c r="Q4" s="19" t="str">
        <f>PROPER(Table1[[#This Row],[Name]])</f>
        <v>Lakshmi Reddy</v>
      </c>
      <c r="R4" s="19">
        <f>YEAR(Table1[[#This Row],[JoinDate]])</f>
        <v>2023</v>
      </c>
      <c r="S4" s="19" t="str">
        <f>VLOOKUP(Table1[[#This Row],[Department]],'Department Info'!$A$1:$D$6,3,FALSE)</f>
        <v>2nd Floor</v>
      </c>
      <c r="T4" s="19" t="str">
        <f>HLOOKUP(Table1[[#This Row],[City]],'City Info'!$A$1:$F$3,2,FALSE)</f>
        <v>South</v>
      </c>
      <c r="U4" s="19"/>
      <c r="X4" t="s">
        <v>136</v>
      </c>
      <c r="Y4">
        <f>_xlfn.MAXIFS(F:F,R:R,"&gt;=2023")</f>
        <v>94100</v>
      </c>
      <c r="AC4" t="s">
        <v>134</v>
      </c>
      <c r="AD4" s="21">
        <f>SUM(Table1[MonthlySales])</f>
        <v>1657900</v>
      </c>
    </row>
    <row r="5" spans="1:30" x14ac:dyDescent="0.3">
      <c r="A5" s="9" t="s">
        <v>20</v>
      </c>
      <c r="B5" s="2" t="s">
        <v>21</v>
      </c>
      <c r="C5" s="2" t="s">
        <v>18</v>
      </c>
      <c r="D5" s="2" t="s">
        <v>22</v>
      </c>
      <c r="E5" s="3">
        <v>45591</v>
      </c>
      <c r="F5" s="4">
        <v>50100</v>
      </c>
      <c r="G5" s="4">
        <v>54800</v>
      </c>
      <c r="H5" s="2">
        <v>3</v>
      </c>
      <c r="I5" s="10" t="s">
        <v>22</v>
      </c>
      <c r="J5" s="19" t="s">
        <v>18</v>
      </c>
      <c r="K5" s="19" t="str">
        <f>IF(Table1[[#This Row],[MonthlySales]]&gt;=Table1[[#This Row],[Target]],"Achieved","Not Achieved")</f>
        <v>Not Achieved</v>
      </c>
      <c r="L5" s="19" t="str">
        <f>IF(Table1[[#This Row],[Rating]]=5,"Excellent",IF(OR(Table1[[#This Row],[Rating]]=3,Table1[[#This Row],[Rating]]=4),"Good","Needs Improvement"))</f>
        <v>Good</v>
      </c>
      <c r="M5" s="19" t="str">
        <f>IF(OR(Table1[[#This Row],[Status]],Table1[[#This Row],[Rating]]&gt;=4),"Yes","No")</f>
        <v>No</v>
      </c>
      <c r="N5" s="20">
        <f>IFERROR(Table1[[#This Row],[MonthlySales]]/Table1[[#This Row],[Target]],0)</f>
        <v>0.91423357664233573</v>
      </c>
      <c r="O5" s="19" t="str">
        <f>LEFT(Table1[[#This Row],[EmpID]],3)</f>
        <v>DEL</v>
      </c>
      <c r="P5" s="19" t="str">
        <f>RIGHT(Table1[[#This Row],[EmpID]],3)</f>
        <v>060</v>
      </c>
      <c r="Q5" s="19" t="str">
        <f>PROPER(Table1[[#This Row],[Name]])</f>
        <v>Tara Panicker</v>
      </c>
      <c r="R5" s="19">
        <f>YEAR(Table1[[#This Row],[JoinDate]])</f>
        <v>2024</v>
      </c>
      <c r="S5" s="19" t="str">
        <f>VLOOKUP(Table1[[#This Row],[Department]],'Department Info'!$A$1:$D$6,3,FALSE)</f>
        <v>2nd Floor</v>
      </c>
      <c r="T5" s="19" t="str">
        <f>HLOOKUP(Table1[[#This Row],[City]],'City Info'!$A$1:$F$3,2,FALSE)</f>
        <v>North</v>
      </c>
      <c r="U5" s="19"/>
      <c r="X5" t="s">
        <v>139</v>
      </c>
      <c r="Y5">
        <f>COUNTIFS(Table1[City],"Bangalore",Table1[Rating],"&gt;=4")+COUNTIFS(Table1[City],"Chennai",Table1[Rating],"&gt;=4")</f>
        <v>7</v>
      </c>
    </row>
    <row r="6" spans="1:30" x14ac:dyDescent="0.3">
      <c r="A6" s="9" t="s">
        <v>23</v>
      </c>
      <c r="B6" s="2" t="s">
        <v>24</v>
      </c>
      <c r="C6" s="2" t="s">
        <v>10</v>
      </c>
      <c r="D6" s="2" t="s">
        <v>15</v>
      </c>
      <c r="E6" s="3">
        <v>43870</v>
      </c>
      <c r="F6" s="4">
        <v>66500</v>
      </c>
      <c r="G6" s="4">
        <v>26600</v>
      </c>
      <c r="H6" s="2">
        <v>1</v>
      </c>
      <c r="I6" s="10" t="s">
        <v>15</v>
      </c>
      <c r="J6" s="19" t="s">
        <v>10</v>
      </c>
      <c r="K6" s="19" t="str">
        <f>IF(Table1[[#This Row],[MonthlySales]]&gt;=Table1[[#This Row],[Target]],"Achieved","Not Achieved")</f>
        <v>Achieved</v>
      </c>
      <c r="L6" s="19" t="str">
        <f>IF(Table1[[#This Row],[Rating]]=5,"Excellent",IF(OR(Table1[[#This Row],[Rating]]=3,Table1[[#This Row],[Rating]]=4),"Good","Needs Improvement"))</f>
        <v>Needs Improvement</v>
      </c>
      <c r="M6" s="19" t="str">
        <f>IF(OR(Table1[[#This Row],[Status]],Table1[[#This Row],[Rating]]&gt;=4),"Yes","No")</f>
        <v>No</v>
      </c>
      <c r="N6" s="20">
        <f>IFERROR(Table1[[#This Row],[MonthlySales]]/Table1[[#This Row],[Target]],0)</f>
        <v>2.5</v>
      </c>
      <c r="O6" s="19" t="str">
        <f>LEFT(Table1[[#This Row],[EmpID]],3)</f>
        <v>KOC</v>
      </c>
      <c r="P6" s="19" t="str">
        <f>RIGHT(Table1[[#This Row],[EmpID]],3)</f>
        <v>077</v>
      </c>
      <c r="Q6" s="19" t="str">
        <f>PROPER(Table1[[#This Row],[Name]])</f>
        <v>Sneha Varma</v>
      </c>
      <c r="R6" s="19">
        <f>YEAR(Table1[[#This Row],[JoinDate]])</f>
        <v>2020</v>
      </c>
      <c r="S6" s="19" t="str">
        <f>VLOOKUP(Table1[[#This Row],[Department]],'Department Info'!$A$1:$D$6,3,FALSE)</f>
        <v>1st Floor</v>
      </c>
      <c r="T6" s="19" t="str">
        <f>HLOOKUP(Table1[[#This Row],[City]],'City Info'!$A$1:$F$3,2,FALSE)</f>
        <v>South</v>
      </c>
      <c r="U6" s="19"/>
      <c r="Y6" s="21"/>
    </row>
    <row r="7" spans="1:30" x14ac:dyDescent="0.3">
      <c r="A7" s="9" t="s">
        <v>25</v>
      </c>
      <c r="B7" s="2" t="s">
        <v>26</v>
      </c>
      <c r="C7" s="2" t="s">
        <v>27</v>
      </c>
      <c r="D7" s="2" t="s">
        <v>11</v>
      </c>
      <c r="E7" s="3">
        <v>44908</v>
      </c>
      <c r="F7" s="4">
        <v>86400</v>
      </c>
      <c r="G7" s="4">
        <v>55500</v>
      </c>
      <c r="H7" s="2">
        <v>1</v>
      </c>
      <c r="I7" s="10" t="s">
        <v>11</v>
      </c>
      <c r="J7" s="19" t="s">
        <v>27</v>
      </c>
      <c r="K7" s="19" t="str">
        <f>IF(Table1[[#This Row],[MonthlySales]]&gt;=Table1[[#This Row],[Target]],"Achieved","Not Achieved")</f>
        <v>Achieved</v>
      </c>
      <c r="L7" s="19" t="str">
        <f>IF(Table1[[#This Row],[Rating]]=5,"Excellent",IF(OR(Table1[[#This Row],[Rating]]=3,Table1[[#This Row],[Rating]]=4),"Good","Needs Improvement"))</f>
        <v>Needs Improvement</v>
      </c>
      <c r="M7" s="19" t="str">
        <f>IF(OR(Table1[[#This Row],[Status]],Table1[[#This Row],[Rating]]&gt;=4),"Yes","No")</f>
        <v>No</v>
      </c>
      <c r="N7" s="20">
        <f>IFERROR(Table1[[#This Row],[MonthlySales]]/Table1[[#This Row],[Target]],0)</f>
        <v>1.5567567567567568</v>
      </c>
      <c r="O7" s="19" t="str">
        <f>LEFT(Table1[[#This Row],[EmpID]],3)</f>
        <v>MUM</v>
      </c>
      <c r="P7" s="19" t="str">
        <f>RIGHT(Table1[[#This Row],[EmpID]],3)</f>
        <v>094</v>
      </c>
      <c r="Q7" s="19" t="str">
        <f>PROPER(Table1[[#This Row],[Name]])</f>
        <v>Naveen Kumar</v>
      </c>
      <c r="R7" s="19">
        <f>YEAR(Table1[[#This Row],[JoinDate]])</f>
        <v>2022</v>
      </c>
      <c r="S7" s="19" t="str">
        <f>VLOOKUP(Table1[[#This Row],[Department]],'Department Info'!$A$1:$D$6,3,FALSE)</f>
        <v>4th Floor</v>
      </c>
      <c r="T7" s="19" t="str">
        <f>HLOOKUP(Table1[[#This Row],[City]],'City Info'!$A$1:$F$3,2,FALSE)</f>
        <v>West</v>
      </c>
      <c r="U7" s="19"/>
    </row>
    <row r="8" spans="1:30" x14ac:dyDescent="0.3">
      <c r="A8" s="9" t="s">
        <v>28</v>
      </c>
      <c r="B8" s="2" t="s">
        <v>29</v>
      </c>
      <c r="C8" s="2" t="s">
        <v>14</v>
      </c>
      <c r="D8" s="2" t="s">
        <v>22</v>
      </c>
      <c r="E8" s="3">
        <v>45338</v>
      </c>
      <c r="F8" s="4">
        <v>24000</v>
      </c>
      <c r="G8" s="4">
        <v>42300</v>
      </c>
      <c r="H8" s="2">
        <v>3</v>
      </c>
      <c r="I8" s="10" t="s">
        <v>22</v>
      </c>
      <c r="J8" s="19" t="s">
        <v>14</v>
      </c>
      <c r="K8" s="19" t="str">
        <f>IF(Table1[[#This Row],[MonthlySales]]&gt;=Table1[[#This Row],[Target]],"Achieved","Not Achieved")</f>
        <v>Not Achieved</v>
      </c>
      <c r="L8" s="19" t="str">
        <f>IF(Table1[[#This Row],[Rating]]=5,"Excellent",IF(OR(Table1[[#This Row],[Rating]]=3,Table1[[#This Row],[Rating]]=4),"Good","Needs Improvement"))</f>
        <v>Good</v>
      </c>
      <c r="M8" s="19" t="str">
        <f>IF(OR(Table1[[#This Row],[Status]],Table1[[#This Row],[Rating]]&gt;=4),"Yes","No")</f>
        <v>No</v>
      </c>
      <c r="N8" s="20">
        <f>IFERROR(Table1[[#This Row],[MonthlySales]]/Table1[[#This Row],[Target]],0)</f>
        <v>0.56737588652482274</v>
      </c>
      <c r="O8" s="19" t="str">
        <f>LEFT(Table1[[#This Row],[EmpID]],3)</f>
        <v>DEL</v>
      </c>
      <c r="P8" s="19" t="str">
        <f>RIGHT(Table1[[#This Row],[EmpID]],3)</f>
        <v>102</v>
      </c>
      <c r="Q8" s="19" t="str">
        <f>PROPER(Table1[[#This Row],[Name]])</f>
        <v>Anjali George</v>
      </c>
      <c r="R8" s="19">
        <f>YEAR(Table1[[#This Row],[JoinDate]])</f>
        <v>2024</v>
      </c>
      <c r="S8" s="19" t="str">
        <f>VLOOKUP(Table1[[#This Row],[Department]],'Department Info'!$A$1:$D$6,3,FALSE)</f>
        <v>3rd Floor</v>
      </c>
      <c r="T8" s="19" t="str">
        <f>HLOOKUP(Table1[[#This Row],[City]],'City Info'!$A$1:$F$3,2,FALSE)</f>
        <v>North</v>
      </c>
      <c r="U8" s="19"/>
    </row>
    <row r="9" spans="1:30" x14ac:dyDescent="0.3">
      <c r="A9" s="9" t="s">
        <v>30</v>
      </c>
      <c r="B9" s="2" t="s">
        <v>31</v>
      </c>
      <c r="C9" s="2" t="s">
        <v>32</v>
      </c>
      <c r="D9" s="2" t="s">
        <v>33</v>
      </c>
      <c r="E9" s="3">
        <v>45141</v>
      </c>
      <c r="F9" s="4">
        <v>35000</v>
      </c>
      <c r="G9" s="4">
        <v>65900</v>
      </c>
      <c r="H9" s="2">
        <v>4</v>
      </c>
      <c r="I9" s="10" t="s">
        <v>33</v>
      </c>
      <c r="J9" s="19" t="s">
        <v>32</v>
      </c>
      <c r="K9" s="19" t="str">
        <f>IF(Table1[[#This Row],[MonthlySales]]&gt;=Table1[[#This Row],[Target]],"Achieved","Not Achieved")</f>
        <v>Not Achieved</v>
      </c>
      <c r="L9" s="19" t="str">
        <f>IF(Table1[[#This Row],[Rating]]=5,"Excellent",IF(OR(Table1[[#This Row],[Rating]]=3,Table1[[#This Row],[Rating]]=4),"Good","Needs Improvement"))</f>
        <v>Good</v>
      </c>
      <c r="M9" s="19" t="str">
        <f>IF(OR(Table1[[#This Row],[Status]],Table1[[#This Row],[Rating]]&gt;=4),"Yes","No")</f>
        <v>Yes</v>
      </c>
      <c r="N9" s="20">
        <f>IFERROR(Table1[[#This Row],[MonthlySales]]/Table1[[#This Row],[Target]],0)</f>
        <v>0.53110773899848251</v>
      </c>
      <c r="O9" s="19" t="str">
        <f>LEFT(Table1[[#This Row],[EmpID]],3)</f>
        <v>CHN</v>
      </c>
      <c r="P9" s="19" t="str">
        <f>RIGHT(Table1[[#This Row],[EmpID]],3)</f>
        <v>117</v>
      </c>
      <c r="Q9" s="19" t="str">
        <f>PROPER(Table1[[#This Row],[Name]])</f>
        <v>Raj Das</v>
      </c>
      <c r="R9" s="19">
        <f>YEAR(Table1[[#This Row],[JoinDate]])</f>
        <v>2023</v>
      </c>
      <c r="S9" s="19" t="str">
        <f>VLOOKUP(Table1[[#This Row],[Department]],'Department Info'!$A$1:$D$6,3,FALSE)</f>
        <v>1st Floor</v>
      </c>
      <c r="T9" s="19" t="str">
        <f>HLOOKUP(Table1[[#This Row],[City]],'City Info'!$A$1:$F$3,2,FALSE)</f>
        <v>South</v>
      </c>
      <c r="U9" s="19"/>
    </row>
    <row r="10" spans="1:30" x14ac:dyDescent="0.3">
      <c r="A10" s="9" t="s">
        <v>34</v>
      </c>
      <c r="B10" s="2" t="s">
        <v>35</v>
      </c>
      <c r="C10" s="2" t="s">
        <v>14</v>
      </c>
      <c r="D10" s="2" t="s">
        <v>15</v>
      </c>
      <c r="E10" s="3">
        <v>45178</v>
      </c>
      <c r="F10" s="4">
        <v>90300</v>
      </c>
      <c r="G10" s="4">
        <v>62500</v>
      </c>
      <c r="H10" s="2">
        <v>3</v>
      </c>
      <c r="I10" s="10" t="s">
        <v>15</v>
      </c>
      <c r="J10" s="19" t="s">
        <v>14</v>
      </c>
      <c r="K10" s="19" t="str">
        <f>IF(Table1[[#This Row],[MonthlySales]]&gt;=Table1[[#This Row],[Target]],"Achieved","Not Achieved")</f>
        <v>Achieved</v>
      </c>
      <c r="L10" s="19" t="str">
        <f>IF(Table1[[#This Row],[Rating]]=5,"Excellent",IF(OR(Table1[[#This Row],[Rating]]=3,Table1[[#This Row],[Rating]]=4),"Good","Needs Improvement"))</f>
        <v>Good</v>
      </c>
      <c r="M10" s="19" t="str">
        <f>IF(OR(Table1[[#This Row],[Status]],Table1[[#This Row],[Rating]]&gt;=4),"Yes","No")</f>
        <v>No</v>
      </c>
      <c r="N10" s="20">
        <f>IFERROR(Table1[[#This Row],[MonthlySales]]/Table1[[#This Row],[Target]],0)</f>
        <v>1.4448000000000001</v>
      </c>
      <c r="O10" s="19" t="str">
        <f>LEFT(Table1[[#This Row],[EmpID]],3)</f>
        <v>KOC</v>
      </c>
      <c r="P10" s="19" t="str">
        <f>RIGHT(Table1[[#This Row],[EmpID]],3)</f>
        <v>124</v>
      </c>
      <c r="Q10" s="19" t="str">
        <f>PROPER(Table1[[#This Row],[Name]])</f>
        <v>Nisha Bose</v>
      </c>
      <c r="R10" s="19">
        <f>YEAR(Table1[[#This Row],[JoinDate]])</f>
        <v>2023</v>
      </c>
      <c r="S10" s="19" t="str">
        <f>VLOOKUP(Table1[[#This Row],[Department]],'Department Info'!$A$1:$D$6,3,FALSE)</f>
        <v>3rd Floor</v>
      </c>
      <c r="T10" s="19" t="str">
        <f>HLOOKUP(Table1[[#This Row],[City]],'City Info'!$A$1:$F$3,2,FALSE)</f>
        <v>South</v>
      </c>
      <c r="U10" s="19"/>
    </row>
    <row r="11" spans="1:30" x14ac:dyDescent="0.3">
      <c r="A11" s="9" t="s">
        <v>36</v>
      </c>
      <c r="B11" s="2" t="s">
        <v>37</v>
      </c>
      <c r="C11" s="2" t="s">
        <v>32</v>
      </c>
      <c r="D11" s="2" t="s">
        <v>22</v>
      </c>
      <c r="E11" s="3">
        <v>43895</v>
      </c>
      <c r="F11" s="4">
        <v>41700</v>
      </c>
      <c r="G11" s="4">
        <v>43800</v>
      </c>
      <c r="H11" s="2">
        <v>1</v>
      </c>
      <c r="I11" s="10" t="s">
        <v>22</v>
      </c>
      <c r="J11" s="19" t="s">
        <v>32</v>
      </c>
      <c r="K11" s="19" t="str">
        <f>IF(Table1[[#This Row],[MonthlySales]]&gt;=Table1[[#This Row],[Target]],"Achieved","Not Achieved")</f>
        <v>Not Achieved</v>
      </c>
      <c r="L11" s="19" t="str">
        <f>IF(Table1[[#This Row],[Rating]]=5,"Excellent",IF(OR(Table1[[#This Row],[Rating]]=3,Table1[[#This Row],[Rating]]=4),"Good","Needs Improvement"))</f>
        <v>Needs Improvement</v>
      </c>
      <c r="M11" s="19" t="str">
        <f>IF(OR(Table1[[#This Row],[Status]],Table1[[#This Row],[Rating]]&gt;=4),"Yes","No")</f>
        <v>No</v>
      </c>
      <c r="N11" s="20">
        <f>IFERROR(Table1[[#This Row],[MonthlySales]]/Table1[[#This Row],[Target]],0)</f>
        <v>0.95205479452054798</v>
      </c>
      <c r="O11" s="19" t="str">
        <f>LEFT(Table1[[#This Row],[EmpID]],3)</f>
        <v>DEL</v>
      </c>
      <c r="P11" s="19" t="str">
        <f>RIGHT(Table1[[#This Row],[EmpID]],3)</f>
        <v>131</v>
      </c>
      <c r="Q11" s="19" t="str">
        <f>PROPER(Table1[[#This Row],[Name]])</f>
        <v>Vishnu Rao</v>
      </c>
      <c r="R11" s="19">
        <f>YEAR(Table1[[#This Row],[JoinDate]])</f>
        <v>2020</v>
      </c>
      <c r="S11" s="19" t="str">
        <f>VLOOKUP(Table1[[#This Row],[Department]],'Department Info'!$A$1:$D$6,3,FALSE)</f>
        <v>1st Floor</v>
      </c>
      <c r="T11" s="19" t="str">
        <f>HLOOKUP(Table1[[#This Row],[City]],'City Info'!$A$1:$F$3,2,FALSE)</f>
        <v>North</v>
      </c>
      <c r="U11" s="19"/>
    </row>
    <row r="12" spans="1:30" x14ac:dyDescent="0.3">
      <c r="A12" s="9" t="s">
        <v>38</v>
      </c>
      <c r="B12" s="2" t="s">
        <v>39</v>
      </c>
      <c r="C12" s="2" t="s">
        <v>27</v>
      </c>
      <c r="D12" s="2" t="s">
        <v>22</v>
      </c>
      <c r="E12" s="3">
        <v>44682</v>
      </c>
      <c r="F12" s="4">
        <v>32900</v>
      </c>
      <c r="G12" s="4">
        <v>62900</v>
      </c>
      <c r="H12" s="2">
        <v>5</v>
      </c>
      <c r="I12" s="10" t="s">
        <v>22</v>
      </c>
      <c r="J12" s="19" t="s">
        <v>27</v>
      </c>
      <c r="K12" s="19" t="str">
        <f>IF(Table1[[#This Row],[MonthlySales]]&gt;=Table1[[#This Row],[Target]],"Achieved","Not Achieved")</f>
        <v>Not Achieved</v>
      </c>
      <c r="L12" s="19" t="str">
        <f>IF(Table1[[#This Row],[Rating]]=5,"Excellent",IF(OR(Table1[[#This Row],[Rating]]=3,Table1[[#This Row],[Rating]]=4),"Good","Needs Improvement"))</f>
        <v>Excellent</v>
      </c>
      <c r="M12" s="19" t="str">
        <f>IF(OR(Table1[[#This Row],[Status]],Table1[[#This Row],[Rating]]&gt;=4),"Yes","No")</f>
        <v>Yes</v>
      </c>
      <c r="N12" s="20">
        <f>IFERROR(Table1[[#This Row],[MonthlySales]]/Table1[[#This Row],[Target]],0)</f>
        <v>0.52305246422893481</v>
      </c>
      <c r="O12" s="19" t="str">
        <f>LEFT(Table1[[#This Row],[EmpID]],3)</f>
        <v>DEL</v>
      </c>
      <c r="P12" s="19" t="str">
        <f>RIGHT(Table1[[#This Row],[EmpID]],3)</f>
        <v>139</v>
      </c>
      <c r="Q12" s="19" t="str">
        <f>PROPER(Table1[[#This Row],[Name]])</f>
        <v>Sara Bhat</v>
      </c>
      <c r="R12" s="19">
        <f>YEAR(Table1[[#This Row],[JoinDate]])</f>
        <v>2022</v>
      </c>
      <c r="S12" s="19" t="str">
        <f>VLOOKUP(Table1[[#This Row],[Department]],'Department Info'!$A$1:$D$6,3,FALSE)</f>
        <v>4th Floor</v>
      </c>
      <c r="T12" s="19" t="str">
        <f>HLOOKUP(Table1[[#This Row],[City]],'City Info'!$A$1:$F$3,2,FALSE)</f>
        <v>North</v>
      </c>
      <c r="U12" s="19"/>
    </row>
    <row r="13" spans="1:30" x14ac:dyDescent="0.3">
      <c r="A13" s="9" t="s">
        <v>40</v>
      </c>
      <c r="B13" s="2" t="s">
        <v>41</v>
      </c>
      <c r="C13" s="2" t="s">
        <v>27</v>
      </c>
      <c r="D13" s="2" t="s">
        <v>11</v>
      </c>
      <c r="E13" s="3">
        <v>44558</v>
      </c>
      <c r="F13" s="4">
        <v>70700</v>
      </c>
      <c r="G13" s="4">
        <v>25500</v>
      </c>
      <c r="H13" s="2">
        <v>4</v>
      </c>
      <c r="I13" s="10" t="s">
        <v>11</v>
      </c>
      <c r="J13" s="19" t="s">
        <v>27</v>
      </c>
      <c r="K13" s="19" t="str">
        <f>IF(Table1[[#This Row],[MonthlySales]]&gt;=Table1[[#This Row],[Target]],"Achieved","Not Achieved")</f>
        <v>Achieved</v>
      </c>
      <c r="L13" s="19" t="str">
        <f>IF(Table1[[#This Row],[Rating]]=5,"Excellent",IF(OR(Table1[[#This Row],[Rating]]=3,Table1[[#This Row],[Rating]]=4),"Good","Needs Improvement"))</f>
        <v>Good</v>
      </c>
      <c r="M13" s="19" t="str">
        <f>IF(OR(Table1[[#This Row],[Status]],Table1[[#This Row],[Rating]]&gt;=4),"Yes","No")</f>
        <v>Yes</v>
      </c>
      <c r="N13" s="20">
        <f>IFERROR(Table1[[#This Row],[MonthlySales]]/Table1[[#This Row],[Target]],0)</f>
        <v>2.7725490196078431</v>
      </c>
      <c r="O13" s="19" t="str">
        <f>LEFT(Table1[[#This Row],[EmpID]],3)</f>
        <v>MUM</v>
      </c>
      <c r="P13" s="19" t="str">
        <f>RIGHT(Table1[[#This Row],[EmpID]],3)</f>
        <v>152</v>
      </c>
      <c r="Q13" s="19" t="str">
        <f>PROPER(Table1[[#This Row],[Name]])</f>
        <v>Manoj Kurian</v>
      </c>
      <c r="R13" s="19">
        <f>YEAR(Table1[[#This Row],[JoinDate]])</f>
        <v>2021</v>
      </c>
      <c r="S13" s="19" t="str">
        <f>VLOOKUP(Table1[[#This Row],[Department]],'Department Info'!$A$1:$D$6,3,FALSE)</f>
        <v>4th Floor</v>
      </c>
      <c r="T13" s="19" t="str">
        <f>HLOOKUP(Table1[[#This Row],[City]],'City Info'!$A$1:$F$3,2,FALSE)</f>
        <v>West</v>
      </c>
      <c r="U13" s="19"/>
    </row>
    <row r="14" spans="1:30" x14ac:dyDescent="0.3">
      <c r="A14" s="9" t="s">
        <v>42</v>
      </c>
      <c r="B14" s="2" t="s">
        <v>43</v>
      </c>
      <c r="C14" s="2" t="s">
        <v>10</v>
      </c>
      <c r="D14" s="2" t="s">
        <v>15</v>
      </c>
      <c r="E14" s="3">
        <v>45111</v>
      </c>
      <c r="F14" s="4">
        <v>67300</v>
      </c>
      <c r="G14" s="4">
        <v>61000</v>
      </c>
      <c r="H14" s="2">
        <v>1</v>
      </c>
      <c r="I14" s="10" t="s">
        <v>15</v>
      </c>
      <c r="J14" s="19" t="s">
        <v>10</v>
      </c>
      <c r="K14" s="19" t="str">
        <f>IF(Table1[[#This Row],[MonthlySales]]&gt;=Table1[[#This Row],[Target]],"Achieved","Not Achieved")</f>
        <v>Achieved</v>
      </c>
      <c r="L14" s="19" t="str">
        <f>IF(Table1[[#This Row],[Rating]]=5,"Excellent",IF(OR(Table1[[#This Row],[Rating]]=3,Table1[[#This Row],[Rating]]=4),"Good","Needs Improvement"))</f>
        <v>Needs Improvement</v>
      </c>
      <c r="M14" s="19" t="str">
        <f>IF(OR(Table1[[#This Row],[Status]],Table1[[#This Row],[Rating]]&gt;=4),"Yes","No")</f>
        <v>No</v>
      </c>
      <c r="N14" s="20">
        <f>IFERROR(Table1[[#This Row],[MonthlySales]]/Table1[[#This Row],[Target]],0)</f>
        <v>1.1032786885245902</v>
      </c>
      <c r="O14" s="19" t="str">
        <f>LEFT(Table1[[#This Row],[EmpID]],3)</f>
        <v>KOC</v>
      </c>
      <c r="P14" s="19" t="str">
        <f>RIGHT(Table1[[#This Row],[EmpID]],3)</f>
        <v>167</v>
      </c>
      <c r="Q14" s="19" t="str">
        <f>PROPER(Table1[[#This Row],[Name]])</f>
        <v>Jithin Nambiar</v>
      </c>
      <c r="R14" s="19">
        <f>YEAR(Table1[[#This Row],[JoinDate]])</f>
        <v>2023</v>
      </c>
      <c r="S14" s="19" t="str">
        <f>VLOOKUP(Table1[[#This Row],[Department]],'Department Info'!$A$1:$D$6,3,FALSE)</f>
        <v>1st Floor</v>
      </c>
      <c r="T14" s="19" t="str">
        <f>HLOOKUP(Table1[[#This Row],[City]],'City Info'!$A$1:$F$3,2,FALSE)</f>
        <v>South</v>
      </c>
      <c r="U14" s="19"/>
    </row>
    <row r="15" spans="1:30" x14ac:dyDescent="0.3">
      <c r="A15" s="9" t="s">
        <v>44</v>
      </c>
      <c r="B15" s="2" t="s">
        <v>45</v>
      </c>
      <c r="C15" s="2" t="s">
        <v>18</v>
      </c>
      <c r="D15" s="2" t="s">
        <v>33</v>
      </c>
      <c r="E15" s="3">
        <v>44989</v>
      </c>
      <c r="F15" s="4">
        <v>52800</v>
      </c>
      <c r="G15" s="4">
        <v>25300</v>
      </c>
      <c r="H15" s="2">
        <v>1</v>
      </c>
      <c r="I15" s="10" t="s">
        <v>33</v>
      </c>
      <c r="J15" s="19" t="s">
        <v>18</v>
      </c>
      <c r="K15" s="19" t="str">
        <f>IF(Table1[[#This Row],[MonthlySales]]&gt;=Table1[[#This Row],[Target]],"Achieved","Not Achieved")</f>
        <v>Achieved</v>
      </c>
      <c r="L15" s="19" t="str">
        <f>IF(Table1[[#This Row],[Rating]]=5,"Excellent",IF(OR(Table1[[#This Row],[Rating]]=3,Table1[[#This Row],[Rating]]=4),"Good","Needs Improvement"))</f>
        <v>Needs Improvement</v>
      </c>
      <c r="M15" s="19" t="str">
        <f>IF(OR(Table1[[#This Row],[Status]],Table1[[#This Row],[Rating]]&gt;=4),"Yes","No")</f>
        <v>No</v>
      </c>
      <c r="N15" s="20">
        <f>IFERROR(Table1[[#This Row],[MonthlySales]]/Table1[[#This Row],[Target]],0)</f>
        <v>2.0869565217391304</v>
      </c>
      <c r="O15" s="19" t="str">
        <f>LEFT(Table1[[#This Row],[EmpID]],3)</f>
        <v>CHN</v>
      </c>
      <c r="P15" s="19" t="str">
        <f>RIGHT(Table1[[#This Row],[EmpID]],3)</f>
        <v>176</v>
      </c>
      <c r="Q15" s="19" t="str">
        <f>PROPER(Table1[[#This Row],[Name]])</f>
        <v>Sandeep Mathew</v>
      </c>
      <c r="R15" s="19">
        <f>YEAR(Table1[[#This Row],[JoinDate]])</f>
        <v>2023</v>
      </c>
      <c r="S15" s="19" t="str">
        <f>VLOOKUP(Table1[[#This Row],[Department]],'Department Info'!$A$1:$D$6,3,FALSE)</f>
        <v>2nd Floor</v>
      </c>
      <c r="T15" s="19" t="str">
        <f>HLOOKUP(Table1[[#This Row],[City]],'City Info'!$A$1:$F$3,2,FALSE)</f>
        <v>South</v>
      </c>
      <c r="U15" s="19"/>
    </row>
    <row r="16" spans="1:30" x14ac:dyDescent="0.3">
      <c r="A16" s="9" t="s">
        <v>46</v>
      </c>
      <c r="B16" s="2" t="s">
        <v>47</v>
      </c>
      <c r="C16" s="2" t="s">
        <v>27</v>
      </c>
      <c r="D16" s="2" t="s">
        <v>19</v>
      </c>
      <c r="E16" s="3">
        <v>45334</v>
      </c>
      <c r="F16" s="4">
        <v>80800</v>
      </c>
      <c r="G16" s="4">
        <v>22600</v>
      </c>
      <c r="H16" s="2">
        <v>1</v>
      </c>
      <c r="I16" s="10" t="s">
        <v>19</v>
      </c>
      <c r="J16" s="19" t="s">
        <v>27</v>
      </c>
      <c r="K16" s="19" t="str">
        <f>IF(Table1[[#This Row],[MonthlySales]]&gt;=Table1[[#This Row],[Target]],"Achieved","Not Achieved")</f>
        <v>Achieved</v>
      </c>
      <c r="L16" s="19" t="str">
        <f>IF(Table1[[#This Row],[Rating]]=5,"Excellent",IF(OR(Table1[[#This Row],[Rating]]=3,Table1[[#This Row],[Rating]]=4),"Good","Needs Improvement"))</f>
        <v>Needs Improvement</v>
      </c>
      <c r="M16" s="19" t="str">
        <f>IF(OR(Table1[[#This Row],[Status]],Table1[[#This Row],[Rating]]&gt;=4),"Yes","No")</f>
        <v>No</v>
      </c>
      <c r="N16" s="20">
        <f>IFERROR(Table1[[#This Row],[MonthlySales]]/Table1[[#This Row],[Target]],0)</f>
        <v>3.5752212389380529</v>
      </c>
      <c r="O16" s="19" t="str">
        <f>LEFT(Table1[[#This Row],[EmpID]],3)</f>
        <v>BLR</v>
      </c>
      <c r="P16" s="19" t="str">
        <f>RIGHT(Table1[[#This Row],[EmpID]],3)</f>
        <v>183</v>
      </c>
      <c r="Q16" s="19" t="str">
        <f>PROPER(Table1[[#This Row],[Name]])</f>
        <v>Reema Achari</v>
      </c>
      <c r="R16" s="19">
        <f>YEAR(Table1[[#This Row],[JoinDate]])</f>
        <v>2024</v>
      </c>
      <c r="S16" s="19" t="str">
        <f>VLOOKUP(Table1[[#This Row],[Department]],'Department Info'!$A$1:$D$6,3,FALSE)</f>
        <v>4th Floor</v>
      </c>
      <c r="T16" s="19" t="str">
        <f>HLOOKUP(Table1[[#This Row],[City]],'City Info'!$A$1:$F$3,2,FALSE)</f>
        <v>South</v>
      </c>
      <c r="U16" s="19"/>
    </row>
    <row r="17" spans="1:21" x14ac:dyDescent="0.3">
      <c r="A17" s="9" t="s">
        <v>48</v>
      </c>
      <c r="B17" s="2" t="s">
        <v>49</v>
      </c>
      <c r="C17" s="2" t="s">
        <v>27</v>
      </c>
      <c r="D17" s="2" t="s">
        <v>33</v>
      </c>
      <c r="E17" s="3">
        <v>44509</v>
      </c>
      <c r="F17" s="4">
        <v>53500</v>
      </c>
      <c r="G17" s="4">
        <v>57200</v>
      </c>
      <c r="H17" s="2">
        <v>4</v>
      </c>
      <c r="I17" s="10" t="s">
        <v>33</v>
      </c>
      <c r="J17" s="19" t="s">
        <v>27</v>
      </c>
      <c r="K17" s="19" t="str">
        <f>IF(Table1[[#This Row],[MonthlySales]]&gt;=Table1[[#This Row],[Target]],"Achieved","Not Achieved")</f>
        <v>Not Achieved</v>
      </c>
      <c r="L17" s="19" t="str">
        <f>IF(Table1[[#This Row],[Rating]]=5,"Excellent",IF(OR(Table1[[#This Row],[Rating]]=3,Table1[[#This Row],[Rating]]=4),"Good","Needs Improvement"))</f>
        <v>Good</v>
      </c>
      <c r="M17" s="19" t="str">
        <f>IF(OR(Table1[[#This Row],[Status]],Table1[[#This Row],[Rating]]&gt;=4),"Yes","No")</f>
        <v>Yes</v>
      </c>
      <c r="N17" s="20">
        <f>IFERROR(Table1[[#This Row],[MonthlySales]]/Table1[[#This Row],[Target]],0)</f>
        <v>0.93531468531468531</v>
      </c>
      <c r="O17" s="19" t="str">
        <f>LEFT(Table1[[#This Row],[EmpID]],3)</f>
        <v>CHN</v>
      </c>
      <c r="P17" s="19" t="str">
        <f>RIGHT(Table1[[#This Row],[EmpID]],3)</f>
        <v>198</v>
      </c>
      <c r="Q17" s="19" t="str">
        <f>PROPER(Table1[[#This Row],[Name]])</f>
        <v>Arun Pillai</v>
      </c>
      <c r="R17" s="19">
        <f>YEAR(Table1[[#This Row],[JoinDate]])</f>
        <v>2021</v>
      </c>
      <c r="S17" s="19" t="str">
        <f>VLOOKUP(Table1[[#This Row],[Department]],'Department Info'!$A$1:$D$6,3,FALSE)</f>
        <v>4th Floor</v>
      </c>
      <c r="T17" s="19" t="str">
        <f>HLOOKUP(Table1[[#This Row],[City]],'City Info'!$A$1:$F$3,2,FALSE)</f>
        <v>South</v>
      </c>
      <c r="U17" s="19"/>
    </row>
    <row r="18" spans="1:21" x14ac:dyDescent="0.3">
      <c r="A18" s="9" t="s">
        <v>50</v>
      </c>
      <c r="B18" s="2" t="s">
        <v>51</v>
      </c>
      <c r="C18" s="2" t="s">
        <v>18</v>
      </c>
      <c r="D18" s="2" t="s">
        <v>19</v>
      </c>
      <c r="E18" s="3">
        <v>45154</v>
      </c>
      <c r="F18" s="4">
        <v>49900</v>
      </c>
      <c r="G18" s="4">
        <v>28700</v>
      </c>
      <c r="H18" s="2">
        <v>2</v>
      </c>
      <c r="I18" s="10" t="s">
        <v>19</v>
      </c>
      <c r="J18" s="19" t="s">
        <v>18</v>
      </c>
      <c r="K18" s="19" t="str">
        <f>IF(Table1[[#This Row],[MonthlySales]]&gt;=Table1[[#This Row],[Target]],"Achieved","Not Achieved")</f>
        <v>Achieved</v>
      </c>
      <c r="L18" s="19" t="str">
        <f>IF(Table1[[#This Row],[Rating]]=5,"Excellent",IF(OR(Table1[[#This Row],[Rating]]=3,Table1[[#This Row],[Rating]]=4),"Good","Needs Improvement"))</f>
        <v>Needs Improvement</v>
      </c>
      <c r="M18" s="19" t="str">
        <f>IF(OR(Table1[[#This Row],[Status]],Table1[[#This Row],[Rating]]&gt;=4),"Yes","No")</f>
        <v>No</v>
      </c>
      <c r="N18" s="20">
        <f>IFERROR(Table1[[#This Row],[MonthlySales]]/Table1[[#This Row],[Target]],0)</f>
        <v>1.7386759581881532</v>
      </c>
      <c r="O18" s="19" t="str">
        <f>LEFT(Table1[[#This Row],[EmpID]],3)</f>
        <v>BLR</v>
      </c>
      <c r="P18" s="19" t="str">
        <f>RIGHT(Table1[[#This Row],[EmpID]],3)</f>
        <v>216</v>
      </c>
      <c r="Q18" s="19" t="str">
        <f>PROPER(Table1[[#This Row],[Name]])</f>
        <v>Anu Sharma</v>
      </c>
      <c r="R18" s="19">
        <f>YEAR(Table1[[#This Row],[JoinDate]])</f>
        <v>2023</v>
      </c>
      <c r="S18" s="19" t="str">
        <f>VLOOKUP(Table1[[#This Row],[Department]],'Department Info'!$A$1:$D$6,3,FALSE)</f>
        <v>2nd Floor</v>
      </c>
      <c r="T18" s="19" t="str">
        <f>HLOOKUP(Table1[[#This Row],[City]],'City Info'!$A$1:$F$3,2,FALSE)</f>
        <v>South</v>
      </c>
      <c r="U18" s="19"/>
    </row>
    <row r="19" spans="1:21" x14ac:dyDescent="0.3">
      <c r="A19" s="9" t="s">
        <v>52</v>
      </c>
      <c r="B19" s="2" t="s">
        <v>53</v>
      </c>
      <c r="C19" s="2" t="s">
        <v>14</v>
      </c>
      <c r="D19" s="2" t="s">
        <v>19</v>
      </c>
      <c r="E19" s="3">
        <v>45266</v>
      </c>
      <c r="F19" s="4">
        <v>70800</v>
      </c>
      <c r="G19" s="4">
        <v>22300</v>
      </c>
      <c r="H19" s="2">
        <v>2</v>
      </c>
      <c r="I19" s="10" t="s">
        <v>19</v>
      </c>
      <c r="J19" s="19" t="s">
        <v>14</v>
      </c>
      <c r="K19" s="19" t="str">
        <f>IF(Table1[[#This Row],[MonthlySales]]&gt;=Table1[[#This Row],[Target]],"Achieved","Not Achieved")</f>
        <v>Achieved</v>
      </c>
      <c r="L19" s="19" t="str">
        <f>IF(Table1[[#This Row],[Rating]]=5,"Excellent",IF(OR(Table1[[#This Row],[Rating]]=3,Table1[[#This Row],[Rating]]=4),"Good","Needs Improvement"))</f>
        <v>Needs Improvement</v>
      </c>
      <c r="M19" s="19" t="str">
        <f>IF(OR(Table1[[#This Row],[Status]],Table1[[#This Row],[Rating]]&gt;=4),"Yes","No")</f>
        <v>No</v>
      </c>
      <c r="N19" s="20">
        <f>IFERROR(Table1[[#This Row],[MonthlySales]]/Table1[[#This Row],[Target]],0)</f>
        <v>3.1748878923766815</v>
      </c>
      <c r="O19" s="19" t="str">
        <f>LEFT(Table1[[#This Row],[EmpID]],3)</f>
        <v>BLR</v>
      </c>
      <c r="P19" s="19" t="str">
        <f>RIGHT(Table1[[#This Row],[EmpID]],3)</f>
        <v>227</v>
      </c>
      <c r="Q19" s="19" t="str">
        <f>PROPER(Table1[[#This Row],[Name]])</f>
        <v>Kiran Menon</v>
      </c>
      <c r="R19" s="19">
        <f>YEAR(Table1[[#This Row],[JoinDate]])</f>
        <v>2023</v>
      </c>
      <c r="S19" s="19" t="str">
        <f>VLOOKUP(Table1[[#This Row],[Department]],'Department Info'!$A$1:$D$6,3,FALSE)</f>
        <v>3rd Floor</v>
      </c>
      <c r="T19" s="19" t="str">
        <f>HLOOKUP(Table1[[#This Row],[City]],'City Info'!$A$1:$F$3,2,FALSE)</f>
        <v>South</v>
      </c>
      <c r="U19" s="19"/>
    </row>
    <row r="20" spans="1:21" x14ac:dyDescent="0.3">
      <c r="A20" s="9" t="s">
        <v>54</v>
      </c>
      <c r="B20" s="2" t="s">
        <v>55</v>
      </c>
      <c r="C20" s="2" t="s">
        <v>14</v>
      </c>
      <c r="D20" s="2" t="s">
        <v>15</v>
      </c>
      <c r="E20" s="3">
        <v>45316</v>
      </c>
      <c r="F20" s="4">
        <v>72000</v>
      </c>
      <c r="G20" s="4">
        <v>50500</v>
      </c>
      <c r="H20" s="2">
        <v>1</v>
      </c>
      <c r="I20" s="10" t="s">
        <v>15</v>
      </c>
      <c r="J20" s="19" t="s">
        <v>14</v>
      </c>
      <c r="K20" s="19" t="str">
        <f>IF(Table1[[#This Row],[MonthlySales]]&gt;=Table1[[#This Row],[Target]],"Achieved","Not Achieved")</f>
        <v>Achieved</v>
      </c>
      <c r="L20" s="19" t="str">
        <f>IF(Table1[[#This Row],[Rating]]=5,"Excellent",IF(OR(Table1[[#This Row],[Rating]]=3,Table1[[#This Row],[Rating]]=4),"Good","Needs Improvement"))</f>
        <v>Needs Improvement</v>
      </c>
      <c r="M20" s="19" t="str">
        <f>IF(OR(Table1[[#This Row],[Status]],Table1[[#This Row],[Rating]]&gt;=4),"Yes","No")</f>
        <v>No</v>
      </c>
      <c r="N20" s="20">
        <f>IFERROR(Table1[[#This Row],[MonthlySales]]/Table1[[#This Row],[Target]],0)</f>
        <v>1.4257425742574257</v>
      </c>
      <c r="O20" s="19" t="str">
        <f>LEFT(Table1[[#This Row],[EmpID]],3)</f>
        <v>KOC</v>
      </c>
      <c r="P20" s="19" t="str">
        <f>RIGHT(Table1[[#This Row],[EmpID]],3)</f>
        <v>234</v>
      </c>
      <c r="Q20" s="19" t="str">
        <f>PROPER(Table1[[#This Row],[Name]])</f>
        <v>Rohan Warrier</v>
      </c>
      <c r="R20" s="19">
        <f>YEAR(Table1[[#This Row],[JoinDate]])</f>
        <v>2024</v>
      </c>
      <c r="S20" s="19" t="str">
        <f>VLOOKUP(Table1[[#This Row],[Department]],'Department Info'!$A$1:$D$6,3,FALSE)</f>
        <v>3rd Floor</v>
      </c>
      <c r="T20" s="19" t="str">
        <f>HLOOKUP(Table1[[#This Row],[City]],'City Info'!$A$1:$F$3,2,FALSE)</f>
        <v>South</v>
      </c>
      <c r="U20" s="19"/>
    </row>
    <row r="21" spans="1:21" x14ac:dyDescent="0.3">
      <c r="A21" s="9" t="s">
        <v>56</v>
      </c>
      <c r="B21" s="2" t="s">
        <v>57</v>
      </c>
      <c r="C21" s="2" t="s">
        <v>27</v>
      </c>
      <c r="D21" s="2" t="s">
        <v>11</v>
      </c>
      <c r="E21" s="3">
        <v>44372</v>
      </c>
      <c r="F21" s="4">
        <v>40800</v>
      </c>
      <c r="G21" s="4">
        <v>74500</v>
      </c>
      <c r="H21" s="2">
        <v>5</v>
      </c>
      <c r="I21" s="10" t="s">
        <v>11</v>
      </c>
      <c r="J21" s="19" t="s">
        <v>27</v>
      </c>
      <c r="K21" s="19" t="str">
        <f>IF(Table1[[#This Row],[MonthlySales]]&gt;=Table1[[#This Row],[Target]],"Achieved","Not Achieved")</f>
        <v>Not Achieved</v>
      </c>
      <c r="L21" s="19" t="str">
        <f>IF(Table1[[#This Row],[Rating]]=5,"Excellent",IF(OR(Table1[[#This Row],[Rating]]=3,Table1[[#This Row],[Rating]]=4),"Good","Needs Improvement"))</f>
        <v>Excellent</v>
      </c>
      <c r="M21" s="19" t="str">
        <f>IF(OR(Table1[[#This Row],[Status]],Table1[[#This Row],[Rating]]&gt;=4),"Yes","No")</f>
        <v>Yes</v>
      </c>
      <c r="N21" s="20">
        <f>IFERROR(Table1[[#This Row],[MonthlySales]]/Table1[[#This Row],[Target]],0)</f>
        <v>0.54765100671140943</v>
      </c>
      <c r="O21" s="19" t="str">
        <f>LEFT(Table1[[#This Row],[EmpID]],3)</f>
        <v>MUM</v>
      </c>
      <c r="P21" s="19" t="str">
        <f>RIGHT(Table1[[#This Row],[EmpID]],3)</f>
        <v>248</v>
      </c>
      <c r="Q21" s="19" t="str">
        <f>PROPER(Table1[[#This Row],[Name]])</f>
        <v>Pooja Pai</v>
      </c>
      <c r="R21" s="19">
        <f>YEAR(Table1[[#This Row],[JoinDate]])</f>
        <v>2021</v>
      </c>
      <c r="S21" s="19" t="str">
        <f>VLOOKUP(Table1[[#This Row],[Department]],'Department Info'!$A$1:$D$6,3,FALSE)</f>
        <v>4th Floor</v>
      </c>
      <c r="T21" s="19" t="str">
        <f>HLOOKUP(Table1[[#This Row],[City]],'City Info'!$A$1:$F$3,2,FALSE)</f>
        <v>West</v>
      </c>
      <c r="U21" s="19"/>
    </row>
    <row r="22" spans="1:21" x14ac:dyDescent="0.3">
      <c r="A22" s="9" t="s">
        <v>58</v>
      </c>
      <c r="B22" s="2" t="s">
        <v>59</v>
      </c>
      <c r="C22" s="2" t="s">
        <v>14</v>
      </c>
      <c r="D22" s="2" t="s">
        <v>15</v>
      </c>
      <c r="E22" s="3">
        <v>45408</v>
      </c>
      <c r="F22" s="4">
        <v>42500</v>
      </c>
      <c r="G22" s="4">
        <v>61000</v>
      </c>
      <c r="H22" s="2">
        <v>2</v>
      </c>
      <c r="I22" s="10" t="s">
        <v>15</v>
      </c>
      <c r="J22" s="19" t="s">
        <v>14</v>
      </c>
      <c r="K22" s="19" t="str">
        <f>IF(Table1[[#This Row],[MonthlySales]]&gt;=Table1[[#This Row],[Target]],"Achieved","Not Achieved")</f>
        <v>Not Achieved</v>
      </c>
      <c r="L22" s="19" t="str">
        <f>IF(Table1[[#This Row],[Rating]]=5,"Excellent",IF(OR(Table1[[#This Row],[Rating]]=3,Table1[[#This Row],[Rating]]=4),"Good","Needs Improvement"))</f>
        <v>Needs Improvement</v>
      </c>
      <c r="M22" s="19" t="str">
        <f>IF(OR(Table1[[#This Row],[Status]],Table1[[#This Row],[Rating]]&gt;=4),"Yes","No")</f>
        <v>No</v>
      </c>
      <c r="N22" s="20">
        <f>IFERROR(Table1[[#This Row],[MonthlySales]]/Table1[[#This Row],[Target]],0)</f>
        <v>0.69672131147540983</v>
      </c>
      <c r="O22" s="19" t="str">
        <f>LEFT(Table1[[#This Row],[EmpID]],3)</f>
        <v>KOC</v>
      </c>
      <c r="P22" s="19" t="str">
        <f>RIGHT(Table1[[#This Row],[EmpID]],3)</f>
        <v>258</v>
      </c>
      <c r="Q22" s="19" t="str">
        <f>PROPER(Table1[[#This Row],[Name]])</f>
        <v>Vivek Chandran</v>
      </c>
      <c r="R22" s="19">
        <f>YEAR(Table1[[#This Row],[JoinDate]])</f>
        <v>2024</v>
      </c>
      <c r="S22" s="19" t="str">
        <f>VLOOKUP(Table1[[#This Row],[Department]],'Department Info'!$A$1:$D$6,3,FALSE)</f>
        <v>3rd Floor</v>
      </c>
      <c r="T22" s="19" t="str">
        <f>HLOOKUP(Table1[[#This Row],[City]],'City Info'!$A$1:$F$3,2,FALSE)</f>
        <v>South</v>
      </c>
      <c r="U22" s="19"/>
    </row>
    <row r="23" spans="1:21" x14ac:dyDescent="0.3">
      <c r="A23" s="9" t="s">
        <v>60</v>
      </c>
      <c r="B23" s="2" t="s">
        <v>61</v>
      </c>
      <c r="C23" s="2" t="s">
        <v>27</v>
      </c>
      <c r="D23" s="2" t="s">
        <v>33</v>
      </c>
      <c r="E23" s="3">
        <v>44896</v>
      </c>
      <c r="F23" s="4">
        <v>20800</v>
      </c>
      <c r="G23" s="4">
        <v>48600</v>
      </c>
      <c r="H23" s="2">
        <v>4</v>
      </c>
      <c r="I23" s="10" t="s">
        <v>33</v>
      </c>
      <c r="J23" s="19" t="s">
        <v>27</v>
      </c>
      <c r="K23" s="19" t="str">
        <f>IF(Table1[[#This Row],[MonthlySales]]&gt;=Table1[[#This Row],[Target]],"Achieved","Not Achieved")</f>
        <v>Not Achieved</v>
      </c>
      <c r="L23" s="19" t="str">
        <f>IF(Table1[[#This Row],[Rating]]=5,"Excellent",IF(OR(Table1[[#This Row],[Rating]]=3,Table1[[#This Row],[Rating]]=4),"Good","Needs Improvement"))</f>
        <v>Good</v>
      </c>
      <c r="M23" s="19" t="str">
        <f>IF(OR(Table1[[#This Row],[Status]],Table1[[#This Row],[Rating]]&gt;=4),"Yes","No")</f>
        <v>Yes</v>
      </c>
      <c r="N23" s="20">
        <f>IFERROR(Table1[[#This Row],[MonthlySales]]/Table1[[#This Row],[Target]],0)</f>
        <v>0.4279835390946502</v>
      </c>
      <c r="O23" s="19" t="str">
        <f>LEFT(Table1[[#This Row],[EmpID]],3)</f>
        <v>CHN</v>
      </c>
      <c r="P23" s="19" t="str">
        <f>RIGHT(Table1[[#This Row],[EmpID]],3)</f>
        <v>276</v>
      </c>
      <c r="Q23" s="19" t="str">
        <f>PROPER(Table1[[#This Row],[Name]])</f>
        <v>Fathima Shetty</v>
      </c>
      <c r="R23" s="19">
        <f>YEAR(Table1[[#This Row],[JoinDate]])</f>
        <v>2022</v>
      </c>
      <c r="S23" s="19" t="str">
        <f>VLOOKUP(Table1[[#This Row],[Department]],'Department Info'!$A$1:$D$6,3,FALSE)</f>
        <v>4th Floor</v>
      </c>
      <c r="T23" s="19" t="str">
        <f>HLOOKUP(Table1[[#This Row],[City]],'City Info'!$A$1:$F$3,2,FALSE)</f>
        <v>South</v>
      </c>
      <c r="U23" s="19"/>
    </row>
    <row r="24" spans="1:21" x14ac:dyDescent="0.3">
      <c r="A24" s="9" t="s">
        <v>62</v>
      </c>
      <c r="B24" s="2" t="s">
        <v>63</v>
      </c>
      <c r="C24" s="2" t="s">
        <v>32</v>
      </c>
      <c r="D24" s="2" t="s">
        <v>11</v>
      </c>
      <c r="E24" s="3">
        <v>45272</v>
      </c>
      <c r="F24" s="4">
        <v>55300</v>
      </c>
      <c r="G24" s="4">
        <v>28200</v>
      </c>
      <c r="H24" s="2">
        <v>2</v>
      </c>
      <c r="I24" s="10" t="s">
        <v>11</v>
      </c>
      <c r="J24" s="19" t="s">
        <v>32</v>
      </c>
      <c r="K24" s="19" t="str">
        <f>IF(Table1[[#This Row],[MonthlySales]]&gt;=Table1[[#This Row],[Target]],"Achieved","Not Achieved")</f>
        <v>Achieved</v>
      </c>
      <c r="L24" s="19" t="str">
        <f>IF(Table1[[#This Row],[Rating]]=5,"Excellent",IF(OR(Table1[[#This Row],[Rating]]=3,Table1[[#This Row],[Rating]]=4),"Good","Needs Improvement"))</f>
        <v>Needs Improvement</v>
      </c>
      <c r="M24" s="19" t="str">
        <f>IF(OR(Table1[[#This Row],[Status]],Table1[[#This Row],[Rating]]&gt;=4),"Yes","No")</f>
        <v>No</v>
      </c>
      <c r="N24" s="20">
        <f>IFERROR(Table1[[#This Row],[MonthlySales]]/Table1[[#This Row],[Target]],0)</f>
        <v>1.9609929078014185</v>
      </c>
      <c r="O24" s="19" t="str">
        <f>LEFT(Table1[[#This Row],[EmpID]],3)</f>
        <v>MUM</v>
      </c>
      <c r="P24" s="19" t="str">
        <f>RIGHT(Table1[[#This Row],[EmpID]],3)</f>
        <v>290</v>
      </c>
      <c r="Q24" s="19" t="str">
        <f>PROPER(Table1[[#This Row],[Name]])</f>
        <v>Meera Iyer</v>
      </c>
      <c r="R24" s="19">
        <f>YEAR(Table1[[#This Row],[JoinDate]])</f>
        <v>2023</v>
      </c>
      <c r="S24" s="19" t="str">
        <f>VLOOKUP(Table1[[#This Row],[Department]],'Department Info'!$A$1:$D$6,3,FALSE)</f>
        <v>1st Floor</v>
      </c>
      <c r="T24" s="19" t="str">
        <f>HLOOKUP(Table1[[#This Row],[City]],'City Info'!$A$1:$F$3,2,FALSE)</f>
        <v>West</v>
      </c>
      <c r="U24" s="19"/>
    </row>
    <row r="25" spans="1:21" x14ac:dyDescent="0.3">
      <c r="A25" s="9" t="s">
        <v>64</v>
      </c>
      <c r="B25" s="2" t="s">
        <v>65</v>
      </c>
      <c r="C25" s="2" t="s">
        <v>32</v>
      </c>
      <c r="D25" s="2" t="s">
        <v>19</v>
      </c>
      <c r="E25" s="3">
        <v>44354</v>
      </c>
      <c r="F25" s="4">
        <v>67400</v>
      </c>
      <c r="G25" s="4">
        <v>20100</v>
      </c>
      <c r="H25" s="2">
        <v>4</v>
      </c>
      <c r="I25" s="10" t="s">
        <v>19</v>
      </c>
      <c r="J25" s="19" t="s">
        <v>32</v>
      </c>
      <c r="K25" s="19" t="str">
        <f>IF(Table1[[#This Row],[MonthlySales]]&gt;=Table1[[#This Row],[Target]],"Achieved","Not Achieved")</f>
        <v>Achieved</v>
      </c>
      <c r="L25" s="19" t="str">
        <f>IF(Table1[[#This Row],[Rating]]=5,"Excellent",IF(OR(Table1[[#This Row],[Rating]]=3,Table1[[#This Row],[Rating]]=4),"Good","Needs Improvement"))</f>
        <v>Good</v>
      </c>
      <c r="M25" s="19" t="str">
        <f>IF(OR(Table1[[#This Row],[Status]],Table1[[#This Row],[Rating]]&gt;=4),"Yes","No")</f>
        <v>Yes</v>
      </c>
      <c r="N25" s="20">
        <f>IFERROR(Table1[[#This Row],[MonthlySales]]/Table1[[#This Row],[Target]],0)</f>
        <v>3.3532338308457712</v>
      </c>
      <c r="O25" s="19" t="str">
        <f>LEFT(Table1[[#This Row],[EmpID]],3)</f>
        <v>BLR</v>
      </c>
      <c r="P25" s="19" t="str">
        <f>RIGHT(Table1[[#This Row],[EmpID]],3)</f>
        <v>308</v>
      </c>
      <c r="Q25" s="19" t="str">
        <f>PROPER(Table1[[#This Row],[Name]])</f>
        <v>Deepa Krishnan</v>
      </c>
      <c r="R25" s="19">
        <f>YEAR(Table1[[#This Row],[JoinDate]])</f>
        <v>2021</v>
      </c>
      <c r="S25" s="19" t="str">
        <f>VLOOKUP(Table1[[#This Row],[Department]],'Department Info'!$A$1:$D$6,3,FALSE)</f>
        <v>1st Floor</v>
      </c>
      <c r="T25" s="19" t="str">
        <f>HLOOKUP(Table1[[#This Row],[City]],'City Info'!$A$1:$F$3,2,FALSE)</f>
        <v>South</v>
      </c>
      <c r="U25" s="19"/>
    </row>
    <row r="26" spans="1:21" x14ac:dyDescent="0.3">
      <c r="A26" s="9" t="s">
        <v>66</v>
      </c>
      <c r="B26" s="2" t="s">
        <v>67</v>
      </c>
      <c r="C26" s="2" t="s">
        <v>18</v>
      </c>
      <c r="D26" s="2" t="s">
        <v>11</v>
      </c>
      <c r="E26" s="3">
        <v>45285</v>
      </c>
      <c r="F26" s="4">
        <v>38400</v>
      </c>
      <c r="G26" s="4">
        <v>68900</v>
      </c>
      <c r="H26" s="2">
        <v>2</v>
      </c>
      <c r="I26" s="10" t="s">
        <v>11</v>
      </c>
      <c r="J26" s="19" t="s">
        <v>18</v>
      </c>
      <c r="K26" s="19" t="str">
        <f>IF(Table1[[#This Row],[MonthlySales]]&gt;=Table1[[#This Row],[Target]],"Achieved","Not Achieved")</f>
        <v>Not Achieved</v>
      </c>
      <c r="L26" s="19" t="str">
        <f>IF(Table1[[#This Row],[Rating]]=5,"Excellent",IF(OR(Table1[[#This Row],[Rating]]=3,Table1[[#This Row],[Rating]]=4),"Good","Needs Improvement"))</f>
        <v>Needs Improvement</v>
      </c>
      <c r="M26" s="19" t="str">
        <f>IF(OR(Table1[[#This Row],[Status]],Table1[[#This Row],[Rating]]&gt;=4),"Yes","No")</f>
        <v>No</v>
      </c>
      <c r="N26" s="20">
        <f>IFERROR(Table1[[#This Row],[MonthlySales]]/Table1[[#This Row],[Target]],0)</f>
        <v>0.55732946298984032</v>
      </c>
      <c r="O26" s="19" t="str">
        <f>LEFT(Table1[[#This Row],[EmpID]],3)</f>
        <v>MUM</v>
      </c>
      <c r="P26" s="19" t="str">
        <f>RIGHT(Table1[[#This Row],[EmpID]],3)</f>
        <v>314</v>
      </c>
      <c r="Q26" s="19" t="str">
        <f>PROPER(Table1[[#This Row],[Name]])</f>
        <v>Anit Devan</v>
      </c>
      <c r="R26" s="19">
        <f>YEAR(Table1[[#This Row],[JoinDate]])</f>
        <v>2023</v>
      </c>
      <c r="S26" s="19" t="str">
        <f>VLOOKUP(Table1[[#This Row],[Department]],'Department Info'!$A$1:$D$6,3,FALSE)</f>
        <v>2nd Floor</v>
      </c>
      <c r="T26" s="19" t="str">
        <f>HLOOKUP(Table1[[#This Row],[City]],'City Info'!$A$1:$F$3,2,FALSE)</f>
        <v>West</v>
      </c>
      <c r="U26" s="19"/>
    </row>
    <row r="27" spans="1:21" x14ac:dyDescent="0.3">
      <c r="A27" s="9" t="s">
        <v>68</v>
      </c>
      <c r="B27" s="2" t="s">
        <v>69</v>
      </c>
      <c r="C27" s="2" t="s">
        <v>14</v>
      </c>
      <c r="D27" s="2" t="s">
        <v>22</v>
      </c>
      <c r="E27" s="3">
        <v>45151</v>
      </c>
      <c r="F27" s="4">
        <v>94100</v>
      </c>
      <c r="G27" s="4">
        <v>28600</v>
      </c>
      <c r="H27" s="2">
        <v>2</v>
      </c>
      <c r="I27" s="10" t="s">
        <v>22</v>
      </c>
      <c r="J27" s="19" t="s">
        <v>14</v>
      </c>
      <c r="K27" s="19" t="str">
        <f>IF(Table1[[#This Row],[MonthlySales]]&gt;=Table1[[#This Row],[Target]],"Achieved","Not Achieved")</f>
        <v>Achieved</v>
      </c>
      <c r="L27" s="19" t="str">
        <f>IF(Table1[[#This Row],[Rating]]=5,"Excellent",IF(OR(Table1[[#This Row],[Rating]]=3,Table1[[#This Row],[Rating]]=4),"Good","Needs Improvement"))</f>
        <v>Needs Improvement</v>
      </c>
      <c r="M27" s="19" t="str">
        <f>IF(OR(Table1[[#This Row],[Status]],Table1[[#This Row],[Rating]]&gt;=4),"Yes","No")</f>
        <v>No</v>
      </c>
      <c r="N27" s="20">
        <f>IFERROR(Table1[[#This Row],[MonthlySales]]/Table1[[#This Row],[Target]],0)</f>
        <v>3.2902097902097904</v>
      </c>
      <c r="O27" s="19" t="str">
        <f>LEFT(Table1[[#This Row],[EmpID]],3)</f>
        <v>DEL</v>
      </c>
      <c r="P27" s="19" t="str">
        <f>RIGHT(Table1[[#This Row],[EmpID]],3)</f>
        <v>319</v>
      </c>
      <c r="Q27" s="19" t="str">
        <f>PROPER(Table1[[#This Row],[Name]])</f>
        <v>Priya Raj</v>
      </c>
      <c r="R27" s="19">
        <f>YEAR(Table1[[#This Row],[JoinDate]])</f>
        <v>2023</v>
      </c>
      <c r="S27" s="19" t="str">
        <f>VLOOKUP(Table1[[#This Row],[Department]],'Department Info'!$A$1:$D$6,3,FALSE)</f>
        <v>3rd Floor</v>
      </c>
      <c r="T27" s="19" t="str">
        <f>HLOOKUP(Table1[[#This Row],[City]],'City Info'!$A$1:$F$3,2,FALSE)</f>
        <v>North</v>
      </c>
      <c r="U27" s="19"/>
    </row>
    <row r="28" spans="1:21" x14ac:dyDescent="0.3">
      <c r="A28" s="9" t="s">
        <v>70</v>
      </c>
      <c r="B28" s="2" t="s">
        <v>71</v>
      </c>
      <c r="C28" s="2" t="s">
        <v>32</v>
      </c>
      <c r="D28" s="2" t="s">
        <v>33</v>
      </c>
      <c r="E28" s="3">
        <v>44484</v>
      </c>
      <c r="F28" s="4">
        <v>85100</v>
      </c>
      <c r="G28" s="4">
        <v>34900</v>
      </c>
      <c r="H28" s="2">
        <v>5</v>
      </c>
      <c r="I28" s="10" t="s">
        <v>33</v>
      </c>
      <c r="J28" s="19" t="s">
        <v>32</v>
      </c>
      <c r="K28" s="19" t="str">
        <f>IF(Table1[[#This Row],[MonthlySales]]&gt;=Table1[[#This Row],[Target]],"Achieved","Not Achieved")</f>
        <v>Achieved</v>
      </c>
      <c r="L28" s="19" t="str">
        <f>IF(Table1[[#This Row],[Rating]]=5,"Excellent",IF(OR(Table1[[#This Row],[Rating]]=3,Table1[[#This Row],[Rating]]=4),"Good","Needs Improvement"))</f>
        <v>Excellent</v>
      </c>
      <c r="M28" s="19" t="str">
        <f>IF(OR(Table1[[#This Row],[Status]],Table1[[#This Row],[Rating]]&gt;=4),"Yes","No")</f>
        <v>Yes</v>
      </c>
      <c r="N28" s="20">
        <f>IFERROR(Table1[[#This Row],[MonthlySales]]/Table1[[#This Row],[Target]],0)</f>
        <v>2.4383954154727792</v>
      </c>
      <c r="O28" s="19" t="str">
        <f>LEFT(Table1[[#This Row],[EmpID]],3)</f>
        <v>CHN</v>
      </c>
      <c r="P28" s="19" t="str">
        <f>RIGHT(Table1[[#This Row],[EmpID]],3)</f>
        <v>322</v>
      </c>
      <c r="Q28" s="19" t="str">
        <f>PROPER(Table1[[#This Row],[Name]])</f>
        <v>Suresh Nair</v>
      </c>
      <c r="R28" s="19">
        <f>YEAR(Table1[[#This Row],[JoinDate]])</f>
        <v>2021</v>
      </c>
      <c r="S28" s="19" t="str">
        <f>VLOOKUP(Table1[[#This Row],[Department]],'Department Info'!$A$1:$D$6,3,FALSE)</f>
        <v>1st Floor</v>
      </c>
      <c r="T28" s="19" t="str">
        <f>HLOOKUP(Table1[[#This Row],[City]],'City Info'!$A$1:$F$3,2,FALSE)</f>
        <v>South</v>
      </c>
      <c r="U28" s="19"/>
    </row>
    <row r="29" spans="1:21" x14ac:dyDescent="0.3">
      <c r="A29" s="9" t="s">
        <v>72</v>
      </c>
      <c r="B29" s="2" t="s">
        <v>73</v>
      </c>
      <c r="C29" s="2" t="s">
        <v>10</v>
      </c>
      <c r="D29" s="2" t="s">
        <v>15</v>
      </c>
      <c r="E29" s="3">
        <v>44457</v>
      </c>
      <c r="F29" s="4">
        <v>31400</v>
      </c>
      <c r="G29" s="4">
        <v>22100</v>
      </c>
      <c r="H29" s="2">
        <v>1</v>
      </c>
      <c r="I29" s="10" t="s">
        <v>15</v>
      </c>
      <c r="J29" s="19" t="s">
        <v>10</v>
      </c>
      <c r="K29" s="19" t="str">
        <f>IF(Table1[[#This Row],[MonthlySales]]&gt;=Table1[[#This Row],[Target]],"Achieved","Not Achieved")</f>
        <v>Achieved</v>
      </c>
      <c r="L29" s="19" t="str">
        <f>IF(Table1[[#This Row],[Rating]]=5,"Excellent",IF(OR(Table1[[#This Row],[Rating]]=3,Table1[[#This Row],[Rating]]=4),"Good","Needs Improvement"))</f>
        <v>Needs Improvement</v>
      </c>
      <c r="M29" s="19" t="str">
        <f>IF(OR(Table1[[#This Row],[Status]],Table1[[#This Row],[Rating]]&gt;=4),"Yes","No")</f>
        <v>No</v>
      </c>
      <c r="N29" s="20">
        <f>IFERROR(Table1[[#This Row],[MonthlySales]]/Table1[[#This Row],[Target]],0)</f>
        <v>1.4208144796380091</v>
      </c>
      <c r="O29" s="19" t="str">
        <f>LEFT(Table1[[#This Row],[EmpID]],3)</f>
        <v>KOC</v>
      </c>
      <c r="P29" s="19" t="str">
        <f>RIGHT(Table1[[#This Row],[EmpID]],3)</f>
        <v>336</v>
      </c>
      <c r="Q29" s="19" t="str">
        <f>PROPER(Table1[[#This Row],[Name]])</f>
        <v>Gokul Joseph</v>
      </c>
      <c r="R29" s="19">
        <f>YEAR(Table1[[#This Row],[JoinDate]])</f>
        <v>2021</v>
      </c>
      <c r="S29" s="19" t="str">
        <f>VLOOKUP(Table1[[#This Row],[Department]],'Department Info'!$A$1:$D$6,3,FALSE)</f>
        <v>1st Floor</v>
      </c>
      <c r="T29" s="19" t="str">
        <f>HLOOKUP(Table1[[#This Row],[City]],'City Info'!$A$1:$F$3,2,FALSE)</f>
        <v>South</v>
      </c>
      <c r="U29" s="19"/>
    </row>
    <row r="30" spans="1:21" x14ac:dyDescent="0.3">
      <c r="A30" s="9" t="s">
        <v>74</v>
      </c>
      <c r="B30" s="2" t="s">
        <v>75</v>
      </c>
      <c r="C30" s="2" t="s">
        <v>27</v>
      </c>
      <c r="D30" s="2" t="s">
        <v>19</v>
      </c>
      <c r="E30" s="3">
        <v>45043</v>
      </c>
      <c r="F30" s="4">
        <v>39600</v>
      </c>
      <c r="G30" s="4">
        <v>22800</v>
      </c>
      <c r="H30" s="2">
        <v>3</v>
      </c>
      <c r="I30" s="10" t="s">
        <v>19</v>
      </c>
      <c r="J30" s="19" t="s">
        <v>27</v>
      </c>
      <c r="K30" s="19" t="str">
        <f>IF(Table1[[#This Row],[MonthlySales]]&gt;=Table1[[#This Row],[Target]],"Achieved","Not Achieved")</f>
        <v>Achieved</v>
      </c>
      <c r="L30" s="19" t="str">
        <f>IF(Table1[[#This Row],[Rating]]=5,"Excellent",IF(OR(Table1[[#This Row],[Rating]]=3,Table1[[#This Row],[Rating]]=4),"Good","Needs Improvement"))</f>
        <v>Good</v>
      </c>
      <c r="M30" s="19" t="str">
        <f>IF(OR(Table1[[#This Row],[Status]],Table1[[#This Row],[Rating]]&gt;=4),"Yes","No")</f>
        <v>No</v>
      </c>
      <c r="N30" s="20">
        <f>IFERROR(Table1[[#This Row],[MonthlySales]]/Table1[[#This Row],[Target]],0)</f>
        <v>1.736842105263158</v>
      </c>
      <c r="O30" s="19" t="str">
        <f>LEFT(Table1[[#This Row],[EmpID]],3)</f>
        <v>BLR</v>
      </c>
      <c r="P30" s="19" t="str">
        <f>RIGHT(Table1[[#This Row],[EmpID]],3)</f>
        <v>343</v>
      </c>
      <c r="Q30" s="19" t="str">
        <f>PROPER(Table1[[#This Row],[Name]])</f>
        <v>Arjun Nayar</v>
      </c>
      <c r="R30" s="19">
        <f>YEAR(Table1[[#This Row],[JoinDate]])</f>
        <v>2023</v>
      </c>
      <c r="S30" s="19" t="str">
        <f>VLOOKUP(Table1[[#This Row],[Department]],'Department Info'!$A$1:$D$6,3,FALSE)</f>
        <v>4th Floor</v>
      </c>
      <c r="T30" s="19" t="str">
        <f>HLOOKUP(Table1[[#This Row],[City]],'City Info'!$A$1:$F$3,2,FALSE)</f>
        <v>South</v>
      </c>
      <c r="U30" s="19"/>
    </row>
    <row r="31" spans="1:21" x14ac:dyDescent="0.3">
      <c r="A31" s="14" t="s">
        <v>76</v>
      </c>
      <c r="B31" s="15" t="s">
        <v>77</v>
      </c>
      <c r="C31" s="15" t="s">
        <v>14</v>
      </c>
      <c r="D31" s="15" t="s">
        <v>33</v>
      </c>
      <c r="E31" s="16">
        <v>44480</v>
      </c>
      <c r="F31" s="17">
        <v>44500</v>
      </c>
      <c r="G31" s="17">
        <v>75700</v>
      </c>
      <c r="H31" s="15">
        <v>4</v>
      </c>
      <c r="I31" s="18" t="s">
        <v>33</v>
      </c>
      <c r="J31" s="19" t="s">
        <v>14</v>
      </c>
      <c r="K31" s="19" t="str">
        <f>IF(Table1[[#This Row],[MonthlySales]]&gt;=Table1[[#This Row],[Target]],"Achieved","Not Achieved")</f>
        <v>Not Achieved</v>
      </c>
      <c r="L31" s="19" t="str">
        <f>IF(Table1[[#This Row],[Rating]]=5,"Excellent",IF(OR(Table1[[#This Row],[Rating]]=3,Table1[[#This Row],[Rating]]=4),"Good","Needs Improvement"))</f>
        <v>Good</v>
      </c>
      <c r="M31" s="19" t="str">
        <f>IF(OR(Table1[[#This Row],[Status]],Table1[[#This Row],[Rating]]&gt;=4),"Yes","No")</f>
        <v>Yes</v>
      </c>
      <c r="N31" s="20">
        <f>IFERROR(Table1[[#This Row],[MonthlySales]]/Table1[[#This Row],[Target]],0)</f>
        <v>0.58784676354029064</v>
      </c>
      <c r="O31" s="19" t="str">
        <f>LEFT(Table1[[#This Row],[EmpID]],3)</f>
        <v>CHN</v>
      </c>
      <c r="P31" s="19" t="str">
        <f>RIGHT(Table1[[#This Row],[EmpID]],3)</f>
        <v>362</v>
      </c>
      <c r="Q31" s="19" t="str">
        <f>PROPER(Table1[[#This Row],[Name]])</f>
        <v>Rahul Pillai</v>
      </c>
      <c r="R31" s="19">
        <f>YEAR(Table1[[#This Row],[JoinDate]])</f>
        <v>2021</v>
      </c>
      <c r="S31" s="19" t="str">
        <f>VLOOKUP(Table1[[#This Row],[Department]],'Department Info'!$A$1:$D$6,3,FALSE)</f>
        <v>3rd Floor</v>
      </c>
      <c r="T31" s="19" t="str">
        <f>HLOOKUP(Table1[[#This Row],[City]],'City Info'!$A$1:$F$3,2,FALSE)</f>
        <v>South</v>
      </c>
      <c r="U31" s="19"/>
    </row>
    <row r="32" spans="1:21" x14ac:dyDescent="0.3">
      <c r="A32" s="14"/>
      <c r="B32" s="15"/>
      <c r="C32" s="15"/>
      <c r="D32" s="15"/>
      <c r="E32" s="16"/>
      <c r="F32" s="17"/>
      <c r="G32" s="17"/>
      <c r="H32" s="15"/>
      <c r="I32" s="18"/>
      <c r="J32" s="19"/>
      <c r="K32" s="19"/>
      <c r="L32" s="19"/>
      <c r="M32" s="19"/>
      <c r="N32" s="19"/>
      <c r="O32" s="19" t="str">
        <f>LEFT(Table1[[#This Row],[EmpID]],3)</f>
        <v/>
      </c>
      <c r="P32" s="19" t="str">
        <f>RIGHT(Table1[[#This Row],[EmpID]],3)</f>
        <v/>
      </c>
      <c r="Q32" s="19" t="str">
        <f>PROPER(Table1[[#This Row],[Name]])</f>
        <v/>
      </c>
      <c r="R32" s="19"/>
      <c r="S32" s="19"/>
      <c r="T32" s="19"/>
      <c r="U32" s="19"/>
    </row>
  </sheetData>
  <conditionalFormatting sqref="A2:U32">
    <cfRule type="expression" dxfId="3" priority="1">
      <formula>$K2="Not Achieved"</formula>
    </cfRule>
  </conditionalFormatting>
  <conditionalFormatting sqref="K2:K32">
    <cfRule type="expression" dxfId="1" priority="3">
      <formula>$K2="Not Achieved"</formula>
    </cfRule>
    <cfRule type="expression" priority="4">
      <formula>$K2="Not Achieved"</formula>
    </cfRule>
  </conditionalFormatting>
  <dataValidations count="2">
    <dataValidation type="list" allowBlank="1" showInputMessage="1" showErrorMessage="1" sqref="K2:K32" xr:uid="{0CCBA698-1FD6-45E0-B527-7B2F42A2D471}">
      <formula1>"HR,Marketing,Sales,IT,Support"</formula1>
    </dataValidation>
    <dataValidation type="list" allowBlank="1" showInputMessage="1" showErrorMessage="1" sqref="C2:C32" xr:uid="{B3577213-131F-4D39-9F0C-4AB5E5057161}">
      <formula1>"HR,Sales,Marketing,Support,IT"</formula1>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6A28A56C-1CAF-400D-8415-7CC406EA2090}">
            <xm:f>NOT(ISERROR(SEARCH($K:$K="Not Achieved",K2)))</xm:f>
            <xm:f>$K:$K="Not Achieved"</xm:f>
            <x14:dxf>
              <font>
                <color rgb="FF9C0006"/>
              </font>
              <fill>
                <patternFill>
                  <bgColor rgb="FFFFC7CE"/>
                </patternFill>
              </fill>
            </x14:dxf>
          </x14:cfRule>
          <xm:sqref>K2</xm:sqref>
        </x14:conditionalFormatting>
        <x14:conditionalFormatting xmlns:xm="http://schemas.microsoft.com/office/excel/2006/main">
          <x14:cfRule type="containsText" priority="6" operator="containsText" id="{2945C528-FC76-4DC0-845C-3BE009892783}">
            <xm:f>NOT(ISERROR(SEARCH($K$2="Not Achieved",K2)))</xm:f>
            <xm:f>$K$2="Not Achieved"</xm:f>
            <x14:dxf>
              <font>
                <color rgb="FF9C0006"/>
              </font>
              <fill>
                <patternFill>
                  <bgColor rgb="FFFFC7CE"/>
                </patternFill>
              </fill>
            </x14:dxf>
          </x14:cfRule>
          <xm:sqref>K2:K32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Normal="100" workbookViewId="0">
      <pane ySplit="3" topLeftCell="A13" activePane="bottomLeft" state="frozen"/>
      <selection pane="bottomLeft" activeCell="D6" sqref="D6"/>
    </sheetView>
  </sheetViews>
  <sheetFormatPr defaultColWidth="8.6640625" defaultRowHeight="14.4" x14ac:dyDescent="0.3"/>
  <cols>
    <col min="1" max="1" width="4" customWidth="1"/>
    <col min="2" max="2" width="132.6640625" customWidth="1"/>
  </cols>
  <sheetData>
    <row r="1" spans="1:2" ht="17.399999999999999" x14ac:dyDescent="0.3">
      <c r="A1" s="23" t="s">
        <v>78</v>
      </c>
      <c r="B1" s="23"/>
    </row>
    <row r="2" spans="1:2" x14ac:dyDescent="0.3">
      <c r="A2" s="24" t="s">
        <v>79</v>
      </c>
      <c r="B2" s="24"/>
    </row>
    <row r="4" spans="1:2" x14ac:dyDescent="0.3">
      <c r="B4" s="5" t="s">
        <v>80</v>
      </c>
    </row>
    <row r="5" spans="1:2" ht="31.5" customHeight="1" x14ac:dyDescent="0.3">
      <c r="A5" s="6">
        <v>1</v>
      </c>
      <c r="B5" s="7" t="s">
        <v>81</v>
      </c>
    </row>
    <row r="6" spans="1:2" ht="31.5" customHeight="1" x14ac:dyDescent="0.3">
      <c r="A6" s="6">
        <v>2</v>
      </c>
      <c r="B6" s="7" t="s">
        <v>82</v>
      </c>
    </row>
    <row r="7" spans="1:2" ht="31.5" customHeight="1" x14ac:dyDescent="0.3">
      <c r="A7" s="6">
        <v>3</v>
      </c>
      <c r="B7" s="7" t="s">
        <v>83</v>
      </c>
    </row>
    <row r="8" spans="1:2" ht="31.5" customHeight="1" x14ac:dyDescent="0.3">
      <c r="A8" s="6">
        <v>4</v>
      </c>
      <c r="B8" s="7" t="s">
        <v>84</v>
      </c>
    </row>
    <row r="9" spans="1:2" ht="31.5" customHeight="1" x14ac:dyDescent="0.3">
      <c r="A9" s="6">
        <v>5</v>
      </c>
      <c r="B9" s="7" t="s">
        <v>85</v>
      </c>
    </row>
    <row r="10" spans="1:2" ht="31.5" customHeight="1" x14ac:dyDescent="0.3">
      <c r="A10" s="6">
        <v>6</v>
      </c>
      <c r="B10" s="7" t="s">
        <v>86</v>
      </c>
    </row>
    <row r="11" spans="1:2" ht="31.5" customHeight="1" x14ac:dyDescent="0.3">
      <c r="A11" s="6">
        <v>7</v>
      </c>
      <c r="B11" s="7" t="s">
        <v>87</v>
      </c>
    </row>
    <row r="12" spans="1:2" ht="31.5" customHeight="1" x14ac:dyDescent="0.3">
      <c r="A12" s="6">
        <v>8</v>
      </c>
      <c r="B12" s="7" t="s">
        <v>88</v>
      </c>
    </row>
    <row r="13" spans="1:2" x14ac:dyDescent="0.3">
      <c r="B13" s="5" t="s">
        <v>89</v>
      </c>
    </row>
    <row r="14" spans="1:2" ht="31.5" customHeight="1" x14ac:dyDescent="0.3">
      <c r="A14" s="6">
        <v>9</v>
      </c>
      <c r="B14" s="7" t="s">
        <v>90</v>
      </c>
    </row>
    <row r="15" spans="1:2" ht="31.5" customHeight="1" x14ac:dyDescent="0.3">
      <c r="A15" s="6">
        <v>10</v>
      </c>
      <c r="B15" s="7" t="s">
        <v>91</v>
      </c>
    </row>
    <row r="16" spans="1:2" x14ac:dyDescent="0.3">
      <c r="B16" s="5" t="s">
        <v>92</v>
      </c>
    </row>
    <row r="17" spans="1:2" ht="31.5" customHeight="1" x14ac:dyDescent="0.3">
      <c r="A17" s="6">
        <v>11</v>
      </c>
      <c r="B17" s="7" t="s">
        <v>93</v>
      </c>
    </row>
    <row r="18" spans="1:2" ht="31.5" customHeight="1" x14ac:dyDescent="0.3">
      <c r="A18" s="6">
        <v>12</v>
      </c>
      <c r="B18" s="7" t="s">
        <v>94</v>
      </c>
    </row>
    <row r="19" spans="1:2" ht="31.5" customHeight="1" x14ac:dyDescent="0.3">
      <c r="A19" s="6">
        <v>13</v>
      </c>
      <c r="B19" s="7" t="s">
        <v>95</v>
      </c>
    </row>
    <row r="20" spans="1:2" ht="31.5" customHeight="1" x14ac:dyDescent="0.3">
      <c r="A20" s="6">
        <v>14</v>
      </c>
      <c r="B20" s="7" t="s">
        <v>96</v>
      </c>
    </row>
    <row r="21" spans="1:2" x14ac:dyDescent="0.3">
      <c r="B21" s="5" t="s">
        <v>97</v>
      </c>
    </row>
    <row r="22" spans="1:2" ht="31.5" customHeight="1" x14ac:dyDescent="0.3">
      <c r="A22" s="6">
        <v>15</v>
      </c>
      <c r="B22" s="7" t="s">
        <v>98</v>
      </c>
    </row>
    <row r="23" spans="1:2" ht="31.5" customHeight="1" x14ac:dyDescent="0.3">
      <c r="A23" s="6">
        <v>16</v>
      </c>
      <c r="B23" s="7" t="s">
        <v>99</v>
      </c>
    </row>
    <row r="24" spans="1:2" ht="31.5" customHeight="1" x14ac:dyDescent="0.3">
      <c r="A24" s="6">
        <v>17</v>
      </c>
      <c r="B24" s="7" t="s">
        <v>100</v>
      </c>
    </row>
    <row r="25" spans="1:2" ht="31.5" customHeight="1" x14ac:dyDescent="0.3">
      <c r="A25" s="6">
        <v>18</v>
      </c>
      <c r="B25" s="7" t="s">
        <v>101</v>
      </c>
    </row>
    <row r="26" spans="1:2" ht="31.5" customHeight="1" x14ac:dyDescent="0.3">
      <c r="A26" s="6">
        <v>19</v>
      </c>
      <c r="B26" s="7" t="s">
        <v>102</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zoomScaleNormal="100" workbookViewId="0"/>
  </sheetViews>
  <sheetFormatPr defaultColWidth="8.6640625" defaultRowHeight="14.4" x14ac:dyDescent="0.3"/>
  <cols>
    <col min="1" max="1" width="14" customWidth="1"/>
    <col min="2" max="2" width="20" customWidth="1"/>
    <col min="3" max="3" width="12" customWidth="1"/>
    <col min="4" max="4" width="20" customWidth="1"/>
  </cols>
  <sheetData>
    <row r="1" spans="1:4" x14ac:dyDescent="0.3">
      <c r="A1" s="1" t="s">
        <v>2</v>
      </c>
      <c r="B1" s="1" t="s">
        <v>103</v>
      </c>
      <c r="C1" s="1" t="s">
        <v>104</v>
      </c>
      <c r="D1" s="1" t="s">
        <v>105</v>
      </c>
    </row>
    <row r="2" spans="1:4" x14ac:dyDescent="0.3">
      <c r="A2" s="2" t="s">
        <v>18</v>
      </c>
      <c r="B2" s="2" t="s">
        <v>106</v>
      </c>
      <c r="C2" s="2" t="s">
        <v>107</v>
      </c>
      <c r="D2" s="2">
        <v>85</v>
      </c>
    </row>
    <row r="3" spans="1:4" x14ac:dyDescent="0.3">
      <c r="A3" s="2" t="s">
        <v>32</v>
      </c>
      <c r="B3" s="2" t="s">
        <v>108</v>
      </c>
      <c r="C3" s="2" t="s">
        <v>109</v>
      </c>
      <c r="D3" s="2">
        <v>40</v>
      </c>
    </row>
    <row r="4" spans="1:4" x14ac:dyDescent="0.3">
      <c r="A4" s="2" t="s">
        <v>14</v>
      </c>
      <c r="B4" s="2" t="s">
        <v>110</v>
      </c>
      <c r="C4" s="2" t="s">
        <v>111</v>
      </c>
      <c r="D4" s="2">
        <v>60</v>
      </c>
    </row>
    <row r="5" spans="1:4" x14ac:dyDescent="0.3">
      <c r="A5" s="2" t="s">
        <v>10</v>
      </c>
      <c r="B5" s="2" t="s">
        <v>112</v>
      </c>
      <c r="C5" s="2" t="s">
        <v>109</v>
      </c>
      <c r="D5" s="2">
        <v>25</v>
      </c>
    </row>
    <row r="6" spans="1:4" x14ac:dyDescent="0.3">
      <c r="A6" s="2" t="s">
        <v>27</v>
      </c>
      <c r="B6" s="2" t="s">
        <v>113</v>
      </c>
      <c r="C6" s="2" t="s">
        <v>114</v>
      </c>
      <c r="D6" s="2">
        <v>95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
  <sheetViews>
    <sheetView zoomScaleNormal="100" workbookViewId="0"/>
  </sheetViews>
  <sheetFormatPr defaultColWidth="8.6640625" defaultRowHeight="14.4" x14ac:dyDescent="0.3"/>
  <cols>
    <col min="1" max="1" width="18" customWidth="1"/>
    <col min="2" max="6" width="13" customWidth="1"/>
  </cols>
  <sheetData>
    <row r="1" spans="1:6" x14ac:dyDescent="0.3">
      <c r="A1" s="1" t="s">
        <v>3</v>
      </c>
      <c r="B1" s="1" t="s">
        <v>19</v>
      </c>
      <c r="C1" s="1" t="s">
        <v>33</v>
      </c>
      <c r="D1" s="1" t="s">
        <v>11</v>
      </c>
      <c r="E1" s="1" t="s">
        <v>22</v>
      </c>
      <c r="F1" s="1" t="s">
        <v>15</v>
      </c>
    </row>
    <row r="2" spans="1:6" x14ac:dyDescent="0.3">
      <c r="A2" s="8" t="s">
        <v>115</v>
      </c>
      <c r="B2" s="2" t="s">
        <v>116</v>
      </c>
      <c r="C2" s="2" t="s">
        <v>116</v>
      </c>
      <c r="D2" s="2" t="s">
        <v>117</v>
      </c>
      <c r="E2" s="2" t="s">
        <v>118</v>
      </c>
      <c r="F2" s="2" t="s">
        <v>116</v>
      </c>
    </row>
    <row r="3" spans="1:6" x14ac:dyDescent="0.3">
      <c r="A3" s="8" t="s">
        <v>119</v>
      </c>
      <c r="B3" s="2" t="s">
        <v>120</v>
      </c>
      <c r="C3" s="2" t="s">
        <v>121</v>
      </c>
      <c r="D3" s="2" t="s">
        <v>122</v>
      </c>
      <c r="E3" s="2" t="s">
        <v>123</v>
      </c>
      <c r="F3" s="2" t="s">
        <v>124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Tasks</vt:lpstr>
      <vt:lpstr>Department Info</vt:lpstr>
      <vt:lpstr>City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ayshanasninasni@gmail.com</cp:lastModifiedBy>
  <cp:revision>0</cp:revision>
  <dcterms:created xsi:type="dcterms:W3CDTF">2026-09-01T11:09:12Z</dcterms:created>
  <dcterms:modified xsi:type="dcterms:W3CDTF">2026-09-02T08:49:46Z</dcterms:modified>
  <dc:language>en-US</dc:language>
</cp:coreProperties>
</file>
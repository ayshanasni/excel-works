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2423cf5ec3f6159c/Documents/"/>
    </mc:Choice>
  </mc:AlternateContent>
  <xr:revisionPtr revIDLastSave="0" documentId="8_{FE81C6AB-C58B-4016-9EDD-15045803C97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Notes - Date &amp; Time Functions" sheetId="1" r:id="rId1"/>
    <sheet name="Examples - Date &amp; Time Fns" sheetId="2" r:id="rId2"/>
    <sheet name="Tasks - Date &amp; Time F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SKK9lA/pVFhsQt9Bs0jWMenZ0f30x1evcW9bK/gs8Tc="/>
    </ext>
  </extLst>
</workbook>
</file>

<file path=xl/calcChain.xml><?xml version="1.0" encoding="utf-8"?>
<calcChain xmlns="http://schemas.openxmlformats.org/spreadsheetml/2006/main">
  <c r="H43" i="3" l="1"/>
  <c r="H44" i="3"/>
  <c r="H45" i="3"/>
  <c r="H46" i="3"/>
  <c r="H47" i="3"/>
  <c r="H48" i="3"/>
  <c r="H49" i="3"/>
  <c r="H42" i="3"/>
  <c r="G42" i="3"/>
  <c r="E41" i="2"/>
  <c r="G43" i="3"/>
  <c r="G44" i="3"/>
  <c r="G45" i="3"/>
  <c r="G46" i="3"/>
  <c r="G47" i="3"/>
  <c r="G48" i="3"/>
  <c r="G49" i="3"/>
  <c r="F42" i="3"/>
  <c r="F43" i="3"/>
  <c r="F44" i="3"/>
  <c r="F45" i="3"/>
  <c r="F46" i="3"/>
  <c r="F47" i="3"/>
  <c r="F48" i="3"/>
  <c r="F49" i="3"/>
  <c r="G31" i="3"/>
  <c r="G32" i="3"/>
  <c r="G33" i="3"/>
  <c r="G34" i="3"/>
  <c r="G35" i="3"/>
  <c r="G36" i="3"/>
  <c r="G37" i="3"/>
  <c r="G30" i="3"/>
  <c r="F31" i="3"/>
  <c r="F32" i="3"/>
  <c r="F33" i="3"/>
  <c r="F34" i="3"/>
  <c r="F35" i="3"/>
  <c r="F36" i="3"/>
  <c r="F37" i="3"/>
  <c r="F30" i="3"/>
  <c r="E31" i="3"/>
  <c r="E32" i="3"/>
  <c r="E33" i="3"/>
  <c r="E34" i="3"/>
  <c r="E35" i="3"/>
  <c r="E36" i="3"/>
  <c r="E37" i="3"/>
  <c r="E30" i="3"/>
  <c r="D31" i="3"/>
  <c r="D32" i="3"/>
  <c r="D33" i="3"/>
  <c r="D34" i="3"/>
  <c r="D35" i="3"/>
  <c r="D36" i="3"/>
  <c r="D37" i="3"/>
  <c r="D30" i="3"/>
  <c r="I18" i="3"/>
  <c r="I19" i="3"/>
  <c r="I20" i="3"/>
  <c r="I21" i="3"/>
  <c r="I22" i="3"/>
  <c r="I23" i="3"/>
  <c r="I24" i="3"/>
  <c r="I25" i="3"/>
  <c r="H19" i="3"/>
  <c r="H20" i="3"/>
  <c r="H21" i="3"/>
  <c r="H22" i="3"/>
  <c r="H23" i="3"/>
  <c r="H24" i="3"/>
  <c r="H25" i="3"/>
  <c r="H18" i="3"/>
  <c r="G19" i="3"/>
  <c r="G20" i="3"/>
  <c r="G21" i="3"/>
  <c r="G22" i="3"/>
  <c r="G23" i="3"/>
  <c r="G24" i="3"/>
  <c r="G25" i="3"/>
  <c r="G18" i="3"/>
  <c r="F19" i="3"/>
  <c r="F20" i="3"/>
  <c r="F21" i="3"/>
  <c r="F22" i="3"/>
  <c r="F23" i="3"/>
  <c r="F24" i="3"/>
  <c r="F25" i="3"/>
  <c r="F18" i="3"/>
  <c r="E19" i="3"/>
  <c r="E20" i="3"/>
  <c r="E21" i="3"/>
  <c r="E22" i="3"/>
  <c r="E23" i="3"/>
  <c r="E24" i="3"/>
  <c r="E25" i="3"/>
  <c r="E18" i="3"/>
  <c r="D19" i="3"/>
  <c r="D20" i="3"/>
  <c r="D21" i="3"/>
  <c r="D22" i="3"/>
  <c r="D23" i="3"/>
  <c r="D24" i="3"/>
  <c r="D25" i="3"/>
  <c r="D18" i="3"/>
  <c r="G7" i="3"/>
  <c r="G8" i="3"/>
  <c r="G9" i="3"/>
  <c r="G10" i="3"/>
  <c r="G11" i="3"/>
  <c r="G12" i="3"/>
  <c r="G13" i="3"/>
  <c r="G6" i="3"/>
  <c r="F7" i="3"/>
  <c r="F8" i="3"/>
  <c r="F9" i="3"/>
  <c r="F10" i="3"/>
  <c r="F11" i="3"/>
  <c r="F12" i="3"/>
  <c r="F13" i="3"/>
  <c r="F6" i="3"/>
  <c r="E7" i="3"/>
  <c r="E8" i="3"/>
  <c r="E9" i="3"/>
  <c r="E10" i="3"/>
  <c r="E11" i="3"/>
  <c r="E12" i="3"/>
  <c r="E13" i="3"/>
  <c r="E6" i="3"/>
  <c r="D13" i="3"/>
  <c r="D12" i="3"/>
  <c r="D11" i="3"/>
  <c r="D10" i="3"/>
  <c r="D9" i="3"/>
  <c r="D8" i="3"/>
  <c r="D7" i="3"/>
  <c r="D6" i="3"/>
  <c r="D41" i="2"/>
  <c r="H42" i="2"/>
  <c r="H43" i="2"/>
  <c r="H44" i="2"/>
  <c r="H45" i="2"/>
  <c r="H46" i="2"/>
  <c r="H41" i="2"/>
  <c r="E42" i="2"/>
  <c r="E43" i="2"/>
  <c r="E44" i="2"/>
  <c r="E45" i="2"/>
  <c r="E46" i="2"/>
  <c r="D42" i="2"/>
  <c r="D43" i="2"/>
  <c r="D44" i="2"/>
  <c r="D45" i="2"/>
  <c r="D46" i="2"/>
  <c r="G32" i="2"/>
  <c r="G33" i="2"/>
  <c r="G34" i="2"/>
  <c r="G35" i="2"/>
  <c r="G36" i="2"/>
  <c r="G31" i="2"/>
  <c r="F32" i="2"/>
  <c r="F33" i="2"/>
  <c r="F34" i="2"/>
  <c r="F35" i="2"/>
  <c r="F36" i="2"/>
  <c r="F31" i="2"/>
  <c r="E32" i="2"/>
  <c r="E33" i="2"/>
  <c r="E34" i="2"/>
  <c r="E35" i="2"/>
  <c r="E36" i="2"/>
  <c r="E31" i="2"/>
  <c r="D32" i="2"/>
  <c r="D33" i="2"/>
  <c r="D34" i="2"/>
  <c r="D35" i="2"/>
  <c r="D36" i="2"/>
  <c r="D31" i="2"/>
  <c r="I21" i="2"/>
  <c r="I22" i="2"/>
  <c r="I23" i="2"/>
  <c r="I24" i="2"/>
  <c r="I25" i="2"/>
  <c r="I26" i="2"/>
  <c r="I20" i="2"/>
  <c r="H21" i="2"/>
  <c r="H22" i="2"/>
  <c r="H23" i="2"/>
  <c r="H24" i="2"/>
  <c r="H25" i="2"/>
  <c r="H26" i="2"/>
  <c r="H20" i="2"/>
  <c r="G21" i="2"/>
  <c r="G22" i="2"/>
  <c r="G23" i="2"/>
  <c r="G24" i="2"/>
  <c r="G25" i="2"/>
  <c r="G26" i="2"/>
  <c r="G20" i="2"/>
  <c r="E21" i="2"/>
  <c r="E22" i="2"/>
  <c r="E23" i="2"/>
  <c r="E24" i="2"/>
  <c r="E25" i="2"/>
  <c r="E26" i="2"/>
  <c r="E20" i="2"/>
  <c r="D21" i="2"/>
  <c r="D22" i="2"/>
  <c r="D23" i="2"/>
  <c r="D24" i="2"/>
  <c r="F24" i="2" s="1"/>
  <c r="D25" i="2"/>
  <c r="F25" i="2" s="1"/>
  <c r="D26" i="2"/>
  <c r="F26" i="2" s="1"/>
  <c r="D20" i="2"/>
  <c r="F20" i="2" s="1"/>
  <c r="C21" i="2"/>
  <c r="F21" i="2" s="1"/>
  <c r="C22" i="2"/>
  <c r="F22" i="2" s="1"/>
  <c r="C23" i="2"/>
  <c r="F23" i="2" s="1"/>
  <c r="C24" i="2"/>
  <c r="C25" i="2"/>
  <c r="C26" i="2"/>
  <c r="C20" i="2"/>
  <c r="G11" i="2"/>
  <c r="G12" i="2"/>
  <c r="G13" i="2"/>
  <c r="G14" i="2"/>
  <c r="G15" i="2"/>
  <c r="G10" i="2"/>
  <c r="F11" i="2"/>
  <c r="F12" i="2"/>
  <c r="F13" i="2"/>
  <c r="F14" i="2"/>
  <c r="F15" i="2"/>
  <c r="F10" i="2"/>
  <c r="E11" i="2"/>
  <c r="E12" i="2"/>
  <c r="E13" i="2"/>
  <c r="E14" i="2"/>
  <c r="E15" i="2"/>
  <c r="E10" i="2"/>
  <c r="C5" i="2"/>
  <c r="D11" i="2"/>
  <c r="D12" i="2"/>
  <c r="D13" i="2"/>
  <c r="D14" i="2"/>
  <c r="D15" i="2"/>
  <c r="D10" i="2"/>
  <c r="C4" i="2"/>
</calcChain>
</file>

<file path=xl/sharedStrings.xml><?xml version="1.0" encoding="utf-8"?>
<sst xmlns="http://schemas.openxmlformats.org/spreadsheetml/2006/main" count="272" uniqueCount="224">
  <si>
    <t>DATE &amp; TIME FUNCTIONS — NOTES</t>
  </si>
  <si>
    <t>Functions: NOW | TODAY | YEAR | MONTH | DAY | HOUR | MINUTE | SECOND | TIME | DATE | EDATE | DATEDIF | NETWORKDAYS | EOMONTH | TEXT</t>
  </si>
  <si>
    <t>GROUP 1 — Current Date &amp; Time</t>
  </si>
  <si>
    <t>Function</t>
  </si>
  <si>
    <t>What It Does</t>
  </si>
  <si>
    <t>Syntax</t>
  </si>
  <si>
    <t>Key Point</t>
  </si>
  <si>
    <t>Practical Use</t>
  </si>
  <si>
    <t>NOW()</t>
  </si>
  <si>
    <t>Returns current date AND time. Updates every time file is opened or recalculated.</t>
  </si>
  <si>
    <t>=NOW()</t>
  </si>
  <si>
    <t>No arguments. Format cell as 'DD-MMM-YYYY HH:MM' to see both date and time.</t>
  </si>
  <si>
    <t>Timestamp a report. Record when a form was last saved.</t>
  </si>
  <si>
    <t>TODAY()</t>
  </si>
  <si>
    <t>Returns today's date only. Updates automatically every day.</t>
  </si>
  <si>
    <t>=TODAY()</t>
  </si>
  <si>
    <t>No arguments. Use TODAY() when you only need the date, not the time.</t>
  </si>
  <si>
    <t>Show today's date in a report header. Calculate how many days since an event.</t>
  </si>
  <si>
    <t>GROUP 2 — Extract Parts from a Date</t>
  </si>
  <si>
    <t>YEAR(date)</t>
  </si>
  <si>
    <t>Extracts the 4-digit year from a date.</t>
  </si>
  <si>
    <t>=YEAR(A2)</t>
  </si>
  <si>
    <t>Returns a number like 2024, not a date. Use on any cell containing a date.</t>
  </si>
  <si>
    <t>Group records by year. Filter data for a specific year.</t>
  </si>
  <si>
    <t>MONTH(date)</t>
  </si>
  <si>
    <t>Extracts the month number (1–12) from a date.</t>
  </si>
  <si>
    <t>=MONTH(A2)</t>
  </si>
  <si>
    <t>1 = January, 12 = December. Combine with TEXT() to get month name.</t>
  </si>
  <si>
    <t>Group sales by month. Check which month has most visits.</t>
  </si>
  <si>
    <t>DAY(date)</t>
  </si>
  <si>
    <t>Extracts the day number (1–31) from a date.</t>
  </si>
  <si>
    <t>=DAY(A2)</t>
  </si>
  <si>
    <t>Returns just the day portion. Useful when comparing specific days.</t>
  </si>
  <si>
    <t>Find which day of the month orders are placed most.</t>
  </si>
  <si>
    <t>GROUP 3 — Extract Parts from a Time</t>
  </si>
  <si>
    <t>HOUR(time)</t>
  </si>
  <si>
    <t>Extracts the hour (0–23) from a time or datetime value.</t>
  </si>
  <si>
    <t>=HOUR(A2)</t>
  </si>
  <si>
    <t>Works on cells formatted as Time or DateTime. Returns 0–23.</t>
  </si>
  <si>
    <t>Find what hour most support calls come in. Analyse peak hours.</t>
  </si>
  <si>
    <t>MINUTE(time)</t>
  </si>
  <si>
    <t>Extracts the minutes (0–59) from a time or datetime value.</t>
  </si>
  <si>
    <t>=MINUTE(A2)</t>
  </si>
  <si>
    <t>Returns just the minute portion of a time value.</t>
  </si>
  <si>
    <t>Calculate exact waiting time in minutes.</t>
  </si>
  <si>
    <t>SECOND(time)</t>
  </si>
  <si>
    <t>Extracts the seconds (0–59) from a time or datetime value.</t>
  </si>
  <si>
    <t>=SECOND(A2)</t>
  </si>
  <si>
    <t>Rarely used in business — mainly for precision timestamps.</t>
  </si>
  <si>
    <t>Log exact response time in seconds for system monitoring.</t>
  </si>
  <si>
    <t>GROUP 4 — Build a Date or Time from Parts</t>
  </si>
  <si>
    <t>DATE(year, month, day)</t>
  </si>
  <si>
    <t>Creates a proper Excel date from three separate number inputs.</t>
  </si>
  <si>
    <t>=DATE(2024, 6, 15)</t>
  </si>
  <si>
    <t>Use when date parts are in separate columns and need to be joined into one date.</t>
  </si>
  <si>
    <t>Combine Year=2024, Month=6, Day=15 into a single date value.</t>
  </si>
  <si>
    <t>TIME(hour, minute, second)</t>
  </si>
  <si>
    <t>Creates a time value from three separate number inputs.</t>
  </si>
  <si>
    <t>=TIME(14, 30, 0)</t>
  </si>
  <si>
    <t>Returns a decimal between 0 and 1 — format the cell as Time to see HH:MM.</t>
  </si>
  <si>
    <t>Build a shift start time: TIME(9,0,0) = 9:00 AM.</t>
  </si>
  <si>
    <t>GROUP 5 — Date Calculations</t>
  </si>
  <si>
    <t>DATEDIF(start, end, unit)</t>
  </si>
  <si>
    <t>Calculates the difference between two dates.
unit: "D"=days, "M"=months, "Y"=years, "MD"=days ignoring months, "YM"=months ignoring years.</t>
  </si>
  <si>
    <t>=DATEDIF(A2, B2, "Y")</t>
  </si>
  <si>
    <t>Hidden function — Excel will NOT autocomplete it. Always type it manually.
Start date must always be earlier than end date.</t>
  </si>
  <si>
    <t>Calculate employee age, years of service, or duration of a project.</t>
  </si>
  <si>
    <t>NETWORKDAYS(start, end)</t>
  </si>
  <si>
    <t>Counts working days between two dates. Automatically excludes Saturdays and Sundays.</t>
  </si>
  <si>
    <t>=NETWORKDAYS(A2, B2)</t>
  </si>
  <si>
    <t>Optional 3rd argument: list of holidays to also exclude.
Both start and end dates are included in the count.</t>
  </si>
  <si>
    <t>Calculate project delivery days. Find actual working days in a month.</t>
  </si>
  <si>
    <t>EDATE(start, months)</t>
  </si>
  <si>
    <t>Returns a date that is exactly N months before or after a given date.</t>
  </si>
  <si>
    <t>=EDATE(A2, 3)</t>
  </si>
  <si>
    <t>Positive number = months forward. Negative = months backward.
Always lands on same day of month.</t>
  </si>
  <si>
    <t>Calculate contract expiry dates. Find subscription renewal date.</t>
  </si>
  <si>
    <t>EOMONTH(start, months)</t>
  </si>
  <si>
    <t>Returns the last day of the month, N months from a given date.</t>
  </si>
  <si>
    <t>=EOMONTH(A2, 0)</t>
  </si>
  <si>
    <t>months=0 → last day of same month. months=1 → last day of next month.</t>
  </si>
  <si>
    <t>Find invoice due dates. Calculate end of billing cycle.</t>
  </si>
  <si>
    <t>GROUP 6 — Display &amp; Format</t>
  </si>
  <si>
    <t>TEXT(value, format)</t>
  </si>
  <si>
    <t>Converts a date or number into a formatted text string.
Common formats: "DD-MM-YYYY", "MMMM YYYY", "DDD", "MMM"</t>
  </si>
  <si>
    <t>=TEXT(A2,"MMMM YYYY")</t>
  </si>
  <si>
    <t>Result is TEXT — you cannot use it in further date calculations.
Use it only for display purposes in reports.</t>
  </si>
  <si>
    <t>Display admission date as "June 2024". Show month name in a summary.</t>
  </si>
  <si>
    <t>Remember: DATEDIF is hidden — type it manually. TEXT() result is text only — cannot be used in further date math.</t>
  </si>
  <si>
    <t>DATE &amp; TIME FUNCTIONS — EXAMPLES  (Teacher Demo)</t>
  </si>
  <si>
    <t>TABLE 1 — NOW() and TODAY()  |  These go in a single reference cell, not a column</t>
  </si>
  <si>
    <t>Formula to Type</t>
  </si>
  <si>
    <t>What You See</t>
  </si>
  <si>
    <t>Put in a report header so it always shows current date</t>
  </si>
  <si>
    <t>Put in a log sheet to timestamp when data was last updated</t>
  </si>
  <si>
    <t>TABLE 2 — HOUR() | MINUTE() | SECOND()  |  Scenario: Hospital staff shift log (clock-in times)</t>
  </si>
  <si>
    <t>New columns created using formulas on the Clock-In column → Extract hour, minute, second to analyse staff arrival patterns</t>
  </si>
  <si>
    <t>Staff Name</t>
  </si>
  <si>
    <t>Clock-In Time</t>
  </si>
  <si>
    <t>Clock-Out Time</t>
  </si>
  <si>
    <t>Hour of Arrival
=HOUR(B__)</t>
  </si>
  <si>
    <t>Minutes Past Hour
=MINUTE(B__)</t>
  </si>
  <si>
    <t>Seconds
=SECOND(B__)</t>
  </si>
  <si>
    <t>Working Hours
=HOUR(C__ - B__)</t>
  </si>
  <si>
    <t>Dr. Aruna</t>
  </si>
  <si>
    <t>Nurse Priya</t>
  </si>
  <si>
    <t>Dr. Vikram</t>
  </si>
  <si>
    <t>Nurse Rekha</t>
  </si>
  <si>
    <t>Dr. Meena</t>
  </si>
  <si>
    <t>Nurse Ganesh</t>
  </si>
  <si>
    <t>TABLE 3 — YEAR() | MONTH() | DAY() | DATE() | TEXT()  |  Scenario: Patient admission records</t>
  </si>
  <si>
    <t>New columns created using formulas on the Admission Date column → Extract parts, rebuild date, display as text</t>
  </si>
  <si>
    <t>Patient</t>
  </si>
  <si>
    <t>Admission Date</t>
  </si>
  <si>
    <t>Year
=YEAR(B__)</t>
  </si>
  <si>
    <t>Month No.
=MONTH(B__)</t>
  </si>
  <si>
    <t>Day No.
=DAY(B__)</t>
  </si>
  <si>
    <t>Rebuilt Date
=DATE(C__,D__,E__)</t>
  </si>
  <si>
    <t>Display as Text
=TEXT(B__,"MMMM YYYY")</t>
  </si>
  <si>
    <t>Month Name
=TEXT(B__,"MMM")</t>
  </si>
  <si>
    <t>Day Name
=TEXT(B__,"DDD")</t>
  </si>
  <si>
    <t>Ravi Kumar</t>
  </si>
  <si>
    <t>Meena Pillai</t>
  </si>
  <si>
    <t>Arjun Reddy</t>
  </si>
  <si>
    <t>Sunita Nair</t>
  </si>
  <si>
    <t>Kiran Sharma</t>
  </si>
  <si>
    <t>Deepa Menon</t>
  </si>
  <si>
    <t>Suresh Iyer</t>
  </si>
  <si>
    <t>TABLE 4 — DATEDIF() | NETWORKDAYS()  |  Scenario: Employee joining and contract records</t>
  </si>
  <si>
    <t>New columns show years of service, months of service, total days, and actual working days between joining and contract end</t>
  </si>
  <si>
    <t>Employee</t>
  </si>
  <si>
    <t>Joining Date</t>
  </si>
  <si>
    <t>Contract End</t>
  </si>
  <si>
    <t>Years of Service
=DATEDIF(B__,C__,"Y")</t>
  </si>
  <si>
    <t>Months of Service
=DATEDIF(B__,C__,"M")</t>
  </si>
  <si>
    <t>Total Days
=DATEDIF(B__,C__,"D")</t>
  </si>
  <si>
    <t>Working Days
=NETWORKDAYS(B__,C__)</t>
  </si>
  <si>
    <t>Nandini R</t>
  </si>
  <si>
    <t>Sanjay M</t>
  </si>
  <si>
    <t>Rekha P</t>
  </si>
  <si>
    <t>Arpit S</t>
  </si>
  <si>
    <t>Lakshmi V</t>
  </si>
  <si>
    <t>Tarun B</t>
  </si>
  <si>
    <t>TABLE 5 — EDATE() | EOMONTH() | TIME()  |  Scenario: Clinic subscription and appointment scheduling</t>
  </si>
  <si>
    <t>EDATE gives renewal/expiry dates. EOMONTH gives billing cycle end. TIME builds an appointment time from hour and minute inputs.</t>
  </si>
  <si>
    <t>Expire Date</t>
  </si>
  <si>
    <t>Plan (Months)</t>
  </si>
  <si>
    <t>Subscription Start
=EDATE(B__, -C__)</t>
  </si>
  <si>
    <t>Next Month Same Day
=EDATE(B__,1)</t>
  </si>
  <si>
    <t>Appt Hour</t>
  </si>
  <si>
    <t>Appt Min</t>
  </si>
  <si>
    <t>Appointment Time
=TIME(F__,G__,0)</t>
  </si>
  <si>
    <t>Aarav S</t>
  </si>
  <si>
    <t>Bhavya R</t>
  </si>
  <si>
    <t>Chirag M</t>
  </si>
  <si>
    <t>Deepa K</t>
  </si>
  <si>
    <t>Esha P</t>
  </si>
  <si>
    <t>Farhan N</t>
  </si>
  <si>
    <t>Yellow cells = live formula results  |  Change any input value and watch the yellow columns update automatically</t>
  </si>
  <si>
    <t>DATE &amp; TIME FUNCTIONS — STUDENT TASKS</t>
  </si>
  <si>
    <t>Each table below has blank columns marked in orange. Write the correct formula in those columns.
No function names are given — figure out the right one based on what the column asks for.</t>
  </si>
  <si>
    <t>TASK TABLE 1 — Call Centre Shift Log  |  Fill the orange columns using the correct formula</t>
  </si>
  <si>
    <t>The operations manager wants to analyse agent arrival times and shift durations</t>
  </si>
  <si>
    <t>Agent Name</t>
  </si>
  <si>
    <t>Clock-In</t>
  </si>
  <si>
    <t>Clock-Out</t>
  </si>
  <si>
    <t xml:space="preserve">Hour of Clock-In
</t>
  </si>
  <si>
    <t xml:space="preserve">Minutes Past Hour
</t>
  </si>
  <si>
    <t>Seconds
(fill this)</t>
  </si>
  <si>
    <t>Total Hours Worked
(fill this)</t>
  </si>
  <si>
    <t>Arun M</t>
  </si>
  <si>
    <t>Bhavana K</t>
  </si>
  <si>
    <t>Chandra R</t>
  </si>
  <si>
    <t>Divya S</t>
  </si>
  <si>
    <t>Elan P</t>
  </si>
  <si>
    <t>Fathima N</t>
  </si>
  <si>
    <t>Ganesh V</t>
  </si>
  <si>
    <t>Heena L</t>
  </si>
  <si>
    <t>TASK TABLE 2 — Online Order Records  |  Fill the orange columns</t>
  </si>
  <si>
    <t>The business analyst needs to break down order dates and display them in different formats for a monthly report</t>
  </si>
  <si>
    <t>Order ID</t>
  </si>
  <si>
    <t>Order Date</t>
  </si>
  <si>
    <t>Customer</t>
  </si>
  <si>
    <t>Year
(fill this)</t>
  </si>
  <si>
    <t>Month No.
(fill this)</t>
  </si>
  <si>
    <t>Day No.
(fill this)</t>
  </si>
  <si>
    <t>Month Name
(fill this)</t>
  </si>
  <si>
    <t>Day Name
(fill this)</t>
  </si>
  <si>
    <t>Display as Text
(e.g. January 2024)</t>
  </si>
  <si>
    <t>ORD-1001</t>
  </si>
  <si>
    <t>ORD-1002</t>
  </si>
  <si>
    <t>ORD-1003</t>
  </si>
  <si>
    <t>ORD-1004</t>
  </si>
  <si>
    <t>ORD-1005</t>
  </si>
  <si>
    <t>ORD-1006</t>
  </si>
  <si>
    <t>ORD-1007</t>
  </si>
  <si>
    <t>ORD-1008</t>
  </si>
  <si>
    <t>Anjali Rao</t>
  </si>
  <si>
    <t>TASK TABLE 3 — Project Duration Tracker  |  Fill the orange columns</t>
  </si>
  <si>
    <t>The project manager wants to know how long each project ran in years, months, days, and actual working days</t>
  </si>
  <si>
    <t>Project</t>
  </si>
  <si>
    <t>Start Date</t>
  </si>
  <si>
    <t>End Date</t>
  </si>
  <si>
    <t>Years
(fill this)</t>
  </si>
  <si>
    <t>Months
(fill this)</t>
  </si>
  <si>
    <t>Days
(fill this)</t>
  </si>
  <si>
    <t>Working Days
(fill this)</t>
  </si>
  <si>
    <t>CRM System</t>
  </si>
  <si>
    <t>HR Portal</t>
  </si>
  <si>
    <t>Payroll Upgrade</t>
  </si>
  <si>
    <t>Mobile App</t>
  </si>
  <si>
    <t>Data Dashboard</t>
  </si>
  <si>
    <t>ERP Migration</t>
  </si>
  <si>
    <t>Inventory Tool</t>
  </si>
  <si>
    <t>Support Portal</t>
  </si>
  <si>
    <t>TASK TABLE 4 — Subscription Renewal Tracker  |  Fill the orange columns</t>
  </si>
  <si>
    <t>The billing team needs to calculate expiry dates, billing cycle end dates, and appointment times for each subscriber</t>
  </si>
  <si>
    <t>Subscriber</t>
  </si>
  <si>
    <t>Expiry Date
(fill this)</t>
  </si>
  <si>
    <t>Next Renewal Date
(fill this)</t>
  </si>
  <si>
    <t>Appointment Time
(fill this)</t>
  </si>
  <si>
    <t>Chandra M</t>
  </si>
  <si>
    <t>Geetha L</t>
  </si>
  <si>
    <t>Harish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</si>
</sst>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mm/dd/yy\ hh:mm\ AM/PM"/>
    <numFmt numFmtId="166" formatCode="dd\-mmm\-yyyy"/>
    <numFmt numFmtId="167" formatCode="hh:mm\ AM/PM"/>
  </numFmts>
  <fonts count="18" x14ac:knownFonts="1">
    <font>
      <sz val="11"/>
      <color theme="1"/>
      <name val="Calibri"/>
      <scheme val="minor"/>
    </font>
    <font>
      <b/>
      <sz val="12"/>
      <color rgb="FFFFFFFF"/>
      <name val="Arial"/>
      <family val="2"/>
    </font>
    <font>
      <sz val="11"/>
      <name val="Calibri"/>
      <family val="2"/>
    </font>
    <font>
      <b/>
      <sz val="10"/>
      <color rgb="FF1F3864"/>
      <name val="Arial"/>
      <family val="2"/>
    </font>
    <font>
      <b/>
      <sz val="10"/>
      <color rgb="FFFFFFFF"/>
      <name val="Arial"/>
      <family val="2"/>
    </font>
    <font>
      <b/>
      <sz val="9"/>
      <color rgb="FF1F3864"/>
      <name val="Arial"/>
      <family val="2"/>
    </font>
    <font>
      <b/>
      <sz val="10"/>
      <color rgb="FF000000"/>
      <name val="Arial"/>
      <family val="2"/>
    </font>
    <font>
      <sz val="9"/>
      <color rgb="FF000000"/>
      <name val="Arial"/>
      <family val="2"/>
    </font>
    <font>
      <b/>
      <sz val="9"/>
      <color rgb="FF1F497D"/>
      <name val="Courier New"/>
      <family val="3"/>
    </font>
    <font>
      <i/>
      <sz val="9"/>
      <color rgb="FF000000"/>
      <name val="Arial"/>
      <family val="2"/>
    </font>
    <font>
      <b/>
      <sz val="10"/>
      <color rgb="FF7B0000"/>
      <name val="Arial"/>
      <family val="2"/>
    </font>
    <font>
      <b/>
      <sz val="10"/>
      <color rgb="FF375623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rgb="FF1F497D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rgb="FF1F3864"/>
        <bgColor rgb="FF1F3864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EAF1DD"/>
        <bgColor rgb="FFEAF1DD"/>
      </patternFill>
    </fill>
    <fill>
      <patternFill patternType="solid">
        <fgColor rgb="FFFCE4D6"/>
        <bgColor rgb="FFFCE4D6"/>
      </patternFill>
    </fill>
  </fills>
  <borders count="6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5" fillId="3" borderId="4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left"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left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left" vertical="center" wrapText="1"/>
    </xf>
    <xf numFmtId="0" fontId="9" fillId="7" borderId="4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center" vertical="center" wrapText="1"/>
    </xf>
    <xf numFmtId="165" fontId="11" fillId="5" borderId="4" xfId="0" applyNumberFormat="1" applyFont="1" applyFill="1" applyBorder="1" applyAlignment="1">
      <alignment horizontal="center" vertical="center"/>
    </xf>
    <xf numFmtId="0" fontId="12" fillId="7" borderId="4" xfId="0" applyFont="1" applyFill="1" applyBorder="1" applyAlignment="1">
      <alignment horizontal="left" vertical="center" wrapText="1"/>
    </xf>
    <xf numFmtId="21" fontId="13" fillId="7" borderId="4" xfId="0" applyNumberFormat="1" applyFont="1" applyFill="1" applyBorder="1" applyAlignment="1">
      <alignment horizontal="center" vertical="center"/>
    </xf>
    <xf numFmtId="0" fontId="14" fillId="6" borderId="4" xfId="0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left" vertical="center" wrapText="1"/>
    </xf>
    <xf numFmtId="21" fontId="13" fillId="5" borderId="4" xfId="0" applyNumberFormat="1" applyFont="1" applyFill="1" applyBorder="1" applyAlignment="1">
      <alignment horizontal="center" vertical="center"/>
    </xf>
    <xf numFmtId="166" fontId="13" fillId="7" borderId="4" xfId="0" applyNumberFormat="1" applyFont="1" applyFill="1" applyBorder="1" applyAlignment="1">
      <alignment horizontal="center" vertical="center"/>
    </xf>
    <xf numFmtId="166" fontId="14" fillId="6" borderId="4" xfId="0" applyNumberFormat="1" applyFont="1" applyFill="1" applyBorder="1" applyAlignment="1">
      <alignment horizontal="center" vertical="center"/>
    </xf>
    <xf numFmtId="166" fontId="13" fillId="5" borderId="4" xfId="0" applyNumberFormat="1" applyFont="1" applyFill="1" applyBorder="1" applyAlignment="1">
      <alignment horizontal="center" vertical="center"/>
    </xf>
    <xf numFmtId="0" fontId="12" fillId="7" borderId="4" xfId="0" applyFont="1" applyFill="1" applyBorder="1" applyAlignment="1">
      <alignment horizontal="center" vertical="center" wrapText="1"/>
    </xf>
    <xf numFmtId="167" fontId="14" fillId="6" borderId="4" xfId="0" applyNumberFormat="1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vertical="center" wrapText="1"/>
    </xf>
    <xf numFmtId="0" fontId="12" fillId="8" borderId="4" xfId="0" applyFont="1" applyFill="1" applyBorder="1" applyAlignment="1">
      <alignment horizontal="left" vertical="center" wrapText="1"/>
    </xf>
    <xf numFmtId="2" fontId="12" fillId="8" borderId="4" xfId="0" applyNumberFormat="1" applyFont="1" applyFill="1" applyBorder="1" applyAlignment="1">
      <alignment horizontal="left" vertical="center" wrapText="1"/>
    </xf>
    <xf numFmtId="0" fontId="12" fillId="9" borderId="4" xfId="0" applyFont="1" applyFill="1" applyBorder="1" applyAlignment="1">
      <alignment horizontal="left" vertical="center" wrapText="1"/>
    </xf>
    <xf numFmtId="21" fontId="13" fillId="9" borderId="4" xfId="0" applyNumberFormat="1" applyFont="1" applyFill="1" applyBorder="1" applyAlignment="1">
      <alignment horizontal="center" vertical="center"/>
    </xf>
    <xf numFmtId="0" fontId="12" fillId="9" borderId="4" xfId="0" applyFont="1" applyFill="1" applyBorder="1" applyAlignment="1">
      <alignment horizontal="center" vertical="center" wrapText="1"/>
    </xf>
    <xf numFmtId="166" fontId="13" fillId="9" borderId="4" xfId="0" applyNumberFormat="1" applyFont="1" applyFill="1" applyBorder="1" applyAlignment="1">
      <alignment horizontal="center" vertical="center"/>
    </xf>
    <xf numFmtId="0" fontId="17" fillId="0" borderId="0" xfId="0" applyFont="1"/>
    <xf numFmtId="166" fontId="17" fillId="8" borderId="4" xfId="0" applyNumberFormat="1" applyFont="1" applyFill="1" applyBorder="1"/>
    <xf numFmtId="167" fontId="17" fillId="8" borderId="4" xfId="0" applyNumberFormat="1" applyFont="1" applyFill="1" applyBorder="1"/>
    <xf numFmtId="0" fontId="4" fillId="7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4" fillId="4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2" fillId="0" borderId="5" xfId="0" applyFont="1" applyBorder="1"/>
    <xf numFmtId="0" fontId="12" fillId="5" borderId="1" xfId="0" applyFont="1" applyFill="1" applyBorder="1" applyAlignment="1">
      <alignment horizontal="left" vertical="center" wrapText="1"/>
    </xf>
    <xf numFmtId="0" fontId="12" fillId="7" borderId="1" xfId="0" applyFont="1" applyFill="1" applyBorder="1" applyAlignment="1">
      <alignment horizontal="left" vertical="center" wrapText="1"/>
    </xf>
    <xf numFmtId="14" fontId="11" fillId="5" borderId="4" xfId="0" applyNumberFormat="1" applyFont="1" applyFill="1" applyBorder="1" applyAlignment="1">
      <alignment horizontal="center" vertical="center"/>
    </xf>
    <xf numFmtId="2" fontId="14" fillId="6" borderId="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workbookViewId="0">
      <selection sqref="A1:F1"/>
    </sheetView>
  </sheetViews>
  <sheetFormatPr defaultColWidth="14.44140625" defaultRowHeight="15" customHeight="1" x14ac:dyDescent="0.3"/>
  <cols>
    <col min="1" max="1" width="23.33203125" customWidth="1"/>
    <col min="2" max="2" width="38" customWidth="1"/>
    <col min="3" max="3" width="34" customWidth="1"/>
    <col min="4" max="4" width="42" customWidth="1"/>
    <col min="5" max="5" width="38" customWidth="1"/>
    <col min="6" max="26" width="8.5546875" customWidth="1"/>
  </cols>
  <sheetData>
    <row r="1" spans="1:6" ht="30" customHeight="1" x14ac:dyDescent="0.3">
      <c r="A1" s="38" t="s">
        <v>0</v>
      </c>
      <c r="B1" s="34"/>
      <c r="C1" s="34"/>
      <c r="D1" s="34"/>
      <c r="E1" s="34"/>
      <c r="F1" s="35"/>
    </row>
    <row r="2" spans="1:6" ht="18" customHeight="1" x14ac:dyDescent="0.3">
      <c r="A2" s="39" t="s">
        <v>1</v>
      </c>
      <c r="B2" s="34"/>
      <c r="C2" s="34"/>
      <c r="D2" s="34"/>
      <c r="E2" s="34"/>
      <c r="F2" s="35"/>
    </row>
    <row r="3" spans="1:6" ht="18" customHeight="1" x14ac:dyDescent="0.3">
      <c r="A3" s="36" t="s">
        <v>2</v>
      </c>
      <c r="B3" s="34"/>
      <c r="C3" s="34"/>
      <c r="D3" s="34"/>
      <c r="E3" s="34"/>
      <c r="F3" s="35"/>
    </row>
    <row r="4" spans="1:6" ht="18" customHeight="1" x14ac:dyDescent="0.3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</row>
    <row r="5" spans="1:6" ht="54.75" customHeight="1" x14ac:dyDescent="0.3">
      <c r="A5" s="2" t="s">
        <v>8</v>
      </c>
      <c r="B5" s="3" t="s">
        <v>9</v>
      </c>
      <c r="C5" s="4" t="s">
        <v>10</v>
      </c>
      <c r="D5" s="5" t="s">
        <v>11</v>
      </c>
      <c r="E5" s="3" t="s">
        <v>12</v>
      </c>
    </row>
    <row r="6" spans="1:6" ht="54.75" customHeight="1" x14ac:dyDescent="0.3">
      <c r="A6" s="6" t="s">
        <v>13</v>
      </c>
      <c r="B6" s="7" t="s">
        <v>14</v>
      </c>
      <c r="C6" s="4" t="s">
        <v>15</v>
      </c>
      <c r="D6" s="8" t="s">
        <v>16</v>
      </c>
      <c r="E6" s="7" t="s">
        <v>17</v>
      </c>
    </row>
    <row r="7" spans="1:6" ht="6" customHeight="1" x14ac:dyDescent="0.3">
      <c r="A7" s="33"/>
      <c r="B7" s="34"/>
      <c r="C7" s="34"/>
      <c r="D7" s="34"/>
      <c r="E7" s="34"/>
      <c r="F7" s="35"/>
    </row>
    <row r="8" spans="1:6" ht="18" customHeight="1" x14ac:dyDescent="0.3">
      <c r="A8" s="36" t="s">
        <v>18</v>
      </c>
      <c r="B8" s="34"/>
      <c r="C8" s="34"/>
      <c r="D8" s="34"/>
      <c r="E8" s="34"/>
      <c r="F8" s="35"/>
    </row>
    <row r="9" spans="1:6" ht="18" customHeight="1" x14ac:dyDescent="0.3">
      <c r="A9" s="1" t="s">
        <v>3</v>
      </c>
      <c r="B9" s="1" t="s">
        <v>4</v>
      </c>
      <c r="C9" s="1" t="s">
        <v>5</v>
      </c>
      <c r="D9" s="1" t="s">
        <v>6</v>
      </c>
      <c r="E9" s="1" t="s">
        <v>7</v>
      </c>
    </row>
    <row r="10" spans="1:6" ht="54.75" customHeight="1" x14ac:dyDescent="0.3">
      <c r="A10" s="2" t="s">
        <v>19</v>
      </c>
      <c r="B10" s="3" t="s">
        <v>20</v>
      </c>
      <c r="C10" s="4" t="s">
        <v>21</v>
      </c>
      <c r="D10" s="5" t="s">
        <v>22</v>
      </c>
      <c r="E10" s="3" t="s">
        <v>23</v>
      </c>
    </row>
    <row r="11" spans="1:6" ht="54.75" customHeight="1" x14ac:dyDescent="0.3">
      <c r="A11" s="6" t="s">
        <v>24</v>
      </c>
      <c r="B11" s="7" t="s">
        <v>25</v>
      </c>
      <c r="C11" s="4" t="s">
        <v>26</v>
      </c>
      <c r="D11" s="8" t="s">
        <v>27</v>
      </c>
      <c r="E11" s="7" t="s">
        <v>28</v>
      </c>
    </row>
    <row r="12" spans="1:6" ht="54.75" customHeight="1" x14ac:dyDescent="0.3">
      <c r="A12" s="2" t="s">
        <v>29</v>
      </c>
      <c r="B12" s="3" t="s">
        <v>30</v>
      </c>
      <c r="C12" s="4" t="s">
        <v>31</v>
      </c>
      <c r="D12" s="5" t="s">
        <v>32</v>
      </c>
      <c r="E12" s="3" t="s">
        <v>33</v>
      </c>
    </row>
    <row r="13" spans="1:6" ht="6" customHeight="1" x14ac:dyDescent="0.3">
      <c r="A13" s="33"/>
      <c r="B13" s="34"/>
      <c r="C13" s="34"/>
      <c r="D13" s="34"/>
      <c r="E13" s="34"/>
      <c r="F13" s="35"/>
    </row>
    <row r="14" spans="1:6" ht="18" customHeight="1" x14ac:dyDescent="0.3">
      <c r="A14" s="36" t="s">
        <v>34</v>
      </c>
      <c r="B14" s="34"/>
      <c r="C14" s="34"/>
      <c r="D14" s="34"/>
      <c r="E14" s="34"/>
      <c r="F14" s="35"/>
    </row>
    <row r="15" spans="1:6" ht="18" customHeight="1" x14ac:dyDescent="0.3">
      <c r="A15" s="1" t="s">
        <v>3</v>
      </c>
      <c r="B15" s="1" t="s">
        <v>4</v>
      </c>
      <c r="C15" s="1" t="s">
        <v>5</v>
      </c>
      <c r="D15" s="1" t="s">
        <v>6</v>
      </c>
      <c r="E15" s="1" t="s">
        <v>7</v>
      </c>
    </row>
    <row r="16" spans="1:6" ht="54.75" customHeight="1" x14ac:dyDescent="0.3">
      <c r="A16" s="2" t="s">
        <v>35</v>
      </c>
      <c r="B16" s="3" t="s">
        <v>36</v>
      </c>
      <c r="C16" s="4" t="s">
        <v>37</v>
      </c>
      <c r="D16" s="5" t="s">
        <v>38</v>
      </c>
      <c r="E16" s="3" t="s">
        <v>39</v>
      </c>
    </row>
    <row r="17" spans="1:6" ht="54.75" customHeight="1" x14ac:dyDescent="0.3">
      <c r="A17" s="6" t="s">
        <v>40</v>
      </c>
      <c r="B17" s="7" t="s">
        <v>41</v>
      </c>
      <c r="C17" s="4" t="s">
        <v>42</v>
      </c>
      <c r="D17" s="8" t="s">
        <v>43</v>
      </c>
      <c r="E17" s="7" t="s">
        <v>44</v>
      </c>
    </row>
    <row r="18" spans="1:6" ht="54.75" customHeight="1" x14ac:dyDescent="0.3">
      <c r="A18" s="2" t="s">
        <v>45</v>
      </c>
      <c r="B18" s="3" t="s">
        <v>46</v>
      </c>
      <c r="C18" s="4" t="s">
        <v>47</v>
      </c>
      <c r="D18" s="5" t="s">
        <v>48</v>
      </c>
      <c r="E18" s="3" t="s">
        <v>49</v>
      </c>
    </row>
    <row r="19" spans="1:6" ht="6" customHeight="1" x14ac:dyDescent="0.3">
      <c r="A19" s="33"/>
      <c r="B19" s="34"/>
      <c r="C19" s="34"/>
      <c r="D19" s="34"/>
      <c r="E19" s="34"/>
      <c r="F19" s="35"/>
    </row>
    <row r="20" spans="1:6" ht="18" customHeight="1" x14ac:dyDescent="0.3">
      <c r="A20" s="36" t="s">
        <v>50</v>
      </c>
      <c r="B20" s="34"/>
      <c r="C20" s="34"/>
      <c r="D20" s="34"/>
      <c r="E20" s="34"/>
      <c r="F20" s="35"/>
    </row>
    <row r="21" spans="1:6" ht="18" customHeight="1" x14ac:dyDescent="0.3">
      <c r="A21" s="1" t="s">
        <v>3</v>
      </c>
      <c r="B21" s="1" t="s">
        <v>4</v>
      </c>
      <c r="C21" s="1" t="s">
        <v>5</v>
      </c>
      <c r="D21" s="1" t="s">
        <v>6</v>
      </c>
      <c r="E21" s="1" t="s">
        <v>7</v>
      </c>
    </row>
    <row r="22" spans="1:6" ht="54.75" customHeight="1" x14ac:dyDescent="0.3">
      <c r="A22" s="2" t="s">
        <v>51</v>
      </c>
      <c r="B22" s="3" t="s">
        <v>52</v>
      </c>
      <c r="C22" s="4" t="s">
        <v>53</v>
      </c>
      <c r="D22" s="5" t="s">
        <v>54</v>
      </c>
      <c r="E22" s="3" t="s">
        <v>55</v>
      </c>
    </row>
    <row r="23" spans="1:6" ht="54.75" customHeight="1" x14ac:dyDescent="0.3">
      <c r="A23" s="6" t="s">
        <v>56</v>
      </c>
      <c r="B23" s="7" t="s">
        <v>57</v>
      </c>
      <c r="C23" s="4" t="s">
        <v>58</v>
      </c>
      <c r="D23" s="8" t="s">
        <v>59</v>
      </c>
      <c r="E23" s="7" t="s">
        <v>60</v>
      </c>
    </row>
    <row r="24" spans="1:6" ht="6" customHeight="1" x14ac:dyDescent="0.3">
      <c r="A24" s="33"/>
      <c r="B24" s="34"/>
      <c r="C24" s="34"/>
      <c r="D24" s="34"/>
      <c r="E24" s="34"/>
      <c r="F24" s="35"/>
    </row>
    <row r="25" spans="1:6" ht="18" customHeight="1" x14ac:dyDescent="0.3">
      <c r="A25" s="36" t="s">
        <v>61</v>
      </c>
      <c r="B25" s="34"/>
      <c r="C25" s="34"/>
      <c r="D25" s="34"/>
      <c r="E25" s="34"/>
      <c r="F25" s="35"/>
    </row>
    <row r="26" spans="1:6" ht="18" customHeight="1" x14ac:dyDescent="0.3">
      <c r="A26" s="1" t="s">
        <v>3</v>
      </c>
      <c r="B26" s="1" t="s">
        <v>4</v>
      </c>
      <c r="C26" s="1" t="s">
        <v>5</v>
      </c>
      <c r="D26" s="1" t="s">
        <v>6</v>
      </c>
      <c r="E26" s="1" t="s">
        <v>7</v>
      </c>
    </row>
    <row r="27" spans="1:6" ht="54.75" customHeight="1" x14ac:dyDescent="0.3">
      <c r="A27" s="2" t="s">
        <v>62</v>
      </c>
      <c r="B27" s="3" t="s">
        <v>63</v>
      </c>
      <c r="C27" s="4" t="s">
        <v>64</v>
      </c>
      <c r="D27" s="5" t="s">
        <v>65</v>
      </c>
      <c r="E27" s="3" t="s">
        <v>66</v>
      </c>
    </row>
    <row r="28" spans="1:6" ht="54.75" customHeight="1" x14ac:dyDescent="0.3">
      <c r="A28" s="6" t="s">
        <v>67</v>
      </c>
      <c r="B28" s="7" t="s">
        <v>68</v>
      </c>
      <c r="C28" s="4" t="s">
        <v>69</v>
      </c>
      <c r="D28" s="8" t="s">
        <v>70</v>
      </c>
      <c r="E28" s="7" t="s">
        <v>71</v>
      </c>
    </row>
    <row r="29" spans="1:6" ht="54.75" customHeight="1" x14ac:dyDescent="0.3">
      <c r="A29" s="2" t="s">
        <v>72</v>
      </c>
      <c r="B29" s="3" t="s">
        <v>73</v>
      </c>
      <c r="C29" s="4" t="s">
        <v>74</v>
      </c>
      <c r="D29" s="5" t="s">
        <v>75</v>
      </c>
      <c r="E29" s="3" t="s">
        <v>76</v>
      </c>
    </row>
    <row r="30" spans="1:6" ht="54.75" customHeight="1" x14ac:dyDescent="0.3">
      <c r="A30" s="6" t="s">
        <v>77</v>
      </c>
      <c r="B30" s="7" t="s">
        <v>78</v>
      </c>
      <c r="C30" s="4" t="s">
        <v>79</v>
      </c>
      <c r="D30" s="8" t="s">
        <v>80</v>
      </c>
      <c r="E30" s="7" t="s">
        <v>81</v>
      </c>
    </row>
    <row r="31" spans="1:6" ht="6" customHeight="1" x14ac:dyDescent="0.3">
      <c r="A31" s="33"/>
      <c r="B31" s="34"/>
      <c r="C31" s="34"/>
      <c r="D31" s="34"/>
      <c r="E31" s="34"/>
      <c r="F31" s="35"/>
    </row>
    <row r="32" spans="1:6" ht="18" customHeight="1" x14ac:dyDescent="0.3">
      <c r="A32" s="36" t="s">
        <v>82</v>
      </c>
      <c r="B32" s="34"/>
      <c r="C32" s="34"/>
      <c r="D32" s="34"/>
      <c r="E32" s="34"/>
      <c r="F32" s="35"/>
    </row>
    <row r="33" spans="1:6" ht="18" customHeight="1" x14ac:dyDescent="0.3">
      <c r="A33" s="1" t="s">
        <v>3</v>
      </c>
      <c r="B33" s="1" t="s">
        <v>4</v>
      </c>
      <c r="C33" s="1" t="s">
        <v>5</v>
      </c>
      <c r="D33" s="1" t="s">
        <v>6</v>
      </c>
      <c r="E33" s="1" t="s">
        <v>7</v>
      </c>
    </row>
    <row r="34" spans="1:6" ht="54.75" customHeight="1" x14ac:dyDescent="0.3">
      <c r="A34" s="2" t="s">
        <v>83</v>
      </c>
      <c r="B34" s="3" t="s">
        <v>84</v>
      </c>
      <c r="C34" s="4" t="s">
        <v>85</v>
      </c>
      <c r="D34" s="5" t="s">
        <v>86</v>
      </c>
      <c r="E34" s="3" t="s">
        <v>87</v>
      </c>
    </row>
    <row r="35" spans="1:6" ht="6" customHeight="1" x14ac:dyDescent="0.3">
      <c r="A35" s="33"/>
      <c r="B35" s="34"/>
      <c r="C35" s="34"/>
      <c r="D35" s="34"/>
      <c r="E35" s="34"/>
      <c r="F35" s="35"/>
    </row>
    <row r="36" spans="1:6" ht="13.5" customHeight="1" x14ac:dyDescent="0.3">
      <c r="A36" s="37" t="s">
        <v>88</v>
      </c>
      <c r="B36" s="34"/>
      <c r="C36" s="34"/>
      <c r="D36" s="34"/>
      <c r="E36" s="34"/>
      <c r="F36" s="35"/>
    </row>
    <row r="37" spans="1:6" ht="14.25" customHeight="1" x14ac:dyDescent="0.3"/>
    <row r="38" spans="1:6" ht="14.25" customHeight="1" x14ac:dyDescent="0.3"/>
    <row r="39" spans="1:6" ht="14.25" customHeight="1" x14ac:dyDescent="0.3"/>
    <row r="40" spans="1:6" ht="14.25" customHeight="1" x14ac:dyDescent="0.3"/>
    <row r="41" spans="1:6" ht="14.25" customHeight="1" x14ac:dyDescent="0.3"/>
    <row r="42" spans="1:6" ht="14.25" customHeight="1" x14ac:dyDescent="0.3"/>
    <row r="43" spans="1:6" ht="14.25" customHeight="1" x14ac:dyDescent="0.3"/>
    <row r="44" spans="1:6" ht="14.25" customHeight="1" x14ac:dyDescent="0.3"/>
    <row r="45" spans="1:6" ht="14.25" customHeight="1" x14ac:dyDescent="0.3"/>
    <row r="46" spans="1:6" ht="14.25" customHeight="1" x14ac:dyDescent="0.3"/>
    <row r="47" spans="1:6" ht="14.25" customHeight="1" x14ac:dyDescent="0.3"/>
    <row r="48" spans="1:6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5">
    <mergeCell ref="A32:F32"/>
    <mergeCell ref="A35:F35"/>
    <mergeCell ref="A36:F36"/>
    <mergeCell ref="A1:F1"/>
    <mergeCell ref="A2:F2"/>
    <mergeCell ref="A3:F3"/>
    <mergeCell ref="A7:F7"/>
    <mergeCell ref="A8:F8"/>
    <mergeCell ref="A13:F13"/>
    <mergeCell ref="A14:F14"/>
    <mergeCell ref="A19:F19"/>
    <mergeCell ref="A20:F20"/>
    <mergeCell ref="A24:F24"/>
    <mergeCell ref="A25:F25"/>
    <mergeCell ref="A31:F31"/>
  </mergeCell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0"/>
  <sheetViews>
    <sheetView tabSelected="1" workbookViewId="0">
      <selection activeCell="E42" sqref="E42"/>
    </sheetView>
  </sheetViews>
  <sheetFormatPr defaultColWidth="14.44140625" defaultRowHeight="15" customHeight="1" x14ac:dyDescent="0.3"/>
  <cols>
    <col min="1" max="1" width="12.109375" customWidth="1"/>
    <col min="2" max="2" width="15.109375" customWidth="1"/>
    <col min="3" max="3" width="20.77734375" customWidth="1"/>
    <col min="4" max="4" width="21.5546875" customWidth="1"/>
    <col min="5" max="5" width="22.109375" customWidth="1"/>
    <col min="6" max="6" width="23.109375" customWidth="1"/>
    <col min="7" max="7" width="28" customWidth="1"/>
    <col min="8" max="8" width="16.44140625" customWidth="1"/>
    <col min="9" max="9" width="15.88671875" customWidth="1"/>
    <col min="10" max="26" width="8.5546875" customWidth="1"/>
  </cols>
  <sheetData>
    <row r="1" spans="1:9" ht="24.6" customHeight="1" x14ac:dyDescent="0.3">
      <c r="A1" s="38" t="s">
        <v>89</v>
      </c>
      <c r="B1" s="34"/>
      <c r="C1" s="34"/>
      <c r="D1" s="34"/>
      <c r="E1" s="34"/>
      <c r="F1" s="34"/>
      <c r="G1" s="34"/>
      <c r="H1" s="34"/>
      <c r="I1" s="35"/>
    </row>
    <row r="2" spans="1:9" ht="28.2" customHeight="1" x14ac:dyDescent="0.3">
      <c r="A2" s="36" t="s">
        <v>90</v>
      </c>
      <c r="B2" s="34"/>
      <c r="C2" s="34"/>
      <c r="D2" s="34"/>
      <c r="E2" s="34"/>
      <c r="F2" s="34"/>
      <c r="G2" s="34"/>
      <c r="H2" s="34"/>
      <c r="I2" s="35"/>
    </row>
    <row r="3" spans="1:9" ht="49.8" customHeight="1" x14ac:dyDescent="0.3">
      <c r="A3" s="9" t="s">
        <v>3</v>
      </c>
      <c r="B3" s="9" t="s">
        <v>91</v>
      </c>
      <c r="C3" s="9" t="s">
        <v>92</v>
      </c>
      <c r="D3" s="39" t="s">
        <v>7</v>
      </c>
      <c r="E3" s="40"/>
    </row>
    <row r="4" spans="1:9" ht="27.75" customHeight="1" x14ac:dyDescent="0.3">
      <c r="A4" s="2" t="s">
        <v>13</v>
      </c>
      <c r="B4" s="4" t="s">
        <v>15</v>
      </c>
      <c r="C4" s="43">
        <f ca="1">TODAY()</f>
        <v>46253</v>
      </c>
      <c r="D4" s="41" t="s">
        <v>93</v>
      </c>
      <c r="E4" s="34"/>
      <c r="F4" s="34"/>
      <c r="G4" s="34"/>
      <c r="H4" s="34"/>
      <c r="I4" s="35"/>
    </row>
    <row r="5" spans="1:9" ht="27.75" customHeight="1" x14ac:dyDescent="0.3">
      <c r="A5" s="6" t="s">
        <v>8</v>
      </c>
      <c r="B5" s="4" t="s">
        <v>10</v>
      </c>
      <c r="C5" s="10">
        <f ca="1">NOW()</f>
        <v>46253.674011111114</v>
      </c>
      <c r="D5" s="42" t="s">
        <v>94</v>
      </c>
      <c r="E5" s="34"/>
      <c r="F5" s="34"/>
      <c r="G5" s="34"/>
      <c r="H5" s="34"/>
      <c r="I5" s="35"/>
    </row>
    <row r="6" spans="1:9" ht="9.75" customHeight="1" x14ac:dyDescent="0.3"/>
    <row r="7" spans="1:9" ht="18" customHeight="1" x14ac:dyDescent="0.3">
      <c r="A7" s="36" t="s">
        <v>95</v>
      </c>
      <c r="B7" s="34"/>
      <c r="C7" s="34"/>
      <c r="D7" s="34"/>
      <c r="E7" s="34"/>
      <c r="F7" s="34"/>
      <c r="G7" s="34"/>
      <c r="H7" s="34"/>
      <c r="I7" s="35"/>
    </row>
    <row r="8" spans="1:9" ht="18" customHeight="1" x14ac:dyDescent="0.3">
      <c r="A8" s="37" t="s">
        <v>96</v>
      </c>
      <c r="B8" s="34"/>
      <c r="C8" s="34"/>
      <c r="D8" s="34"/>
      <c r="E8" s="34"/>
      <c r="F8" s="34"/>
      <c r="G8" s="34"/>
      <c r="H8" s="34"/>
      <c r="I8" s="35"/>
    </row>
    <row r="9" spans="1:9" ht="39.6" customHeight="1" x14ac:dyDescent="0.3">
      <c r="A9" s="1" t="s">
        <v>97</v>
      </c>
      <c r="B9" s="1" t="s">
        <v>98</v>
      </c>
      <c r="C9" s="1" t="s">
        <v>99</v>
      </c>
      <c r="D9" s="1" t="s">
        <v>100</v>
      </c>
      <c r="E9" s="1" t="s">
        <v>101</v>
      </c>
      <c r="F9" s="1" t="s">
        <v>102</v>
      </c>
      <c r="G9" s="1" t="s">
        <v>103</v>
      </c>
    </row>
    <row r="10" spans="1:9" ht="19.5" customHeight="1" x14ac:dyDescent="0.3">
      <c r="A10" s="11" t="s">
        <v>104</v>
      </c>
      <c r="B10" s="12">
        <v>45453.3370601852</v>
      </c>
      <c r="C10" s="12">
        <v>45453.604166666701</v>
      </c>
      <c r="D10" s="13">
        <f>HOUR(B10)</f>
        <v>8</v>
      </c>
      <c r="E10" s="13">
        <f>MINUTE(B10)</f>
        <v>5</v>
      </c>
      <c r="F10" s="13">
        <f>SECOND(B10)</f>
        <v>22</v>
      </c>
      <c r="G10" s="44">
        <f>HOUR(C10-B10)</f>
        <v>6</v>
      </c>
    </row>
    <row r="11" spans="1:9" ht="19.5" customHeight="1" x14ac:dyDescent="0.3">
      <c r="A11" s="14" t="s">
        <v>105</v>
      </c>
      <c r="B11" s="15">
        <v>45453.332465277803</v>
      </c>
      <c r="C11" s="15">
        <v>45453.583333333299</v>
      </c>
      <c r="D11" s="13">
        <f t="shared" ref="D11:D15" si="0">HOUR(B11)</f>
        <v>7</v>
      </c>
      <c r="E11" s="13">
        <f t="shared" ref="E11:E15" si="1">MINUTE(B11)</f>
        <v>58</v>
      </c>
      <c r="F11" s="13">
        <f t="shared" ref="F11:F15" si="2">SECOND(B11)</f>
        <v>45</v>
      </c>
      <c r="G11" s="44">
        <f t="shared" ref="G11:G15" si="3">HOUR(C11-B11)</f>
        <v>6</v>
      </c>
    </row>
    <row r="12" spans="1:9" ht="19.5" customHeight="1" x14ac:dyDescent="0.3">
      <c r="A12" s="11" t="s">
        <v>106</v>
      </c>
      <c r="B12" s="12">
        <v>45453.385451388902</v>
      </c>
      <c r="C12" s="12">
        <v>45453.722222222197</v>
      </c>
      <c r="D12" s="13">
        <f t="shared" si="0"/>
        <v>9</v>
      </c>
      <c r="E12" s="13">
        <f t="shared" si="1"/>
        <v>15</v>
      </c>
      <c r="F12" s="13">
        <f t="shared" si="2"/>
        <v>3</v>
      </c>
      <c r="G12" s="44">
        <f t="shared" si="3"/>
        <v>8</v>
      </c>
    </row>
    <row r="13" spans="1:9" ht="19.5" customHeight="1" x14ac:dyDescent="0.3">
      <c r="A13" s="14" t="s">
        <v>107</v>
      </c>
      <c r="B13" s="15">
        <v>45453.354166666701</v>
      </c>
      <c r="C13" s="15">
        <v>45453.6875</v>
      </c>
      <c r="D13" s="13">
        <f t="shared" si="0"/>
        <v>8</v>
      </c>
      <c r="E13" s="13">
        <f t="shared" si="1"/>
        <v>30</v>
      </c>
      <c r="F13" s="13">
        <f t="shared" si="2"/>
        <v>0</v>
      </c>
      <c r="G13" s="44">
        <f t="shared" si="3"/>
        <v>8</v>
      </c>
    </row>
    <row r="14" spans="1:9" ht="19.5" customHeight="1" x14ac:dyDescent="0.3">
      <c r="A14" s="11" t="s">
        <v>108</v>
      </c>
      <c r="B14" s="12">
        <v>45453.418692129599</v>
      </c>
      <c r="C14" s="12">
        <v>45453.75</v>
      </c>
      <c r="D14" s="13">
        <f t="shared" si="0"/>
        <v>10</v>
      </c>
      <c r="E14" s="13">
        <f t="shared" si="1"/>
        <v>2</v>
      </c>
      <c r="F14" s="13">
        <f t="shared" si="2"/>
        <v>55</v>
      </c>
      <c r="G14" s="44">
        <f t="shared" si="3"/>
        <v>7</v>
      </c>
    </row>
    <row r="15" spans="1:9" ht="19.5" customHeight="1" x14ac:dyDescent="0.3">
      <c r="A15" s="14" t="s">
        <v>109</v>
      </c>
      <c r="B15" s="15">
        <v>45453.323032407403</v>
      </c>
      <c r="C15" s="15">
        <v>45453.572916666701</v>
      </c>
      <c r="D15" s="13">
        <f t="shared" si="0"/>
        <v>7</v>
      </c>
      <c r="E15" s="13">
        <f t="shared" si="1"/>
        <v>45</v>
      </c>
      <c r="F15" s="13">
        <f t="shared" si="2"/>
        <v>10</v>
      </c>
      <c r="G15" s="44">
        <f t="shared" si="3"/>
        <v>5</v>
      </c>
    </row>
    <row r="16" spans="1:9" ht="9.75" customHeight="1" x14ac:dyDescent="0.3"/>
    <row r="17" spans="1:9" ht="18" customHeight="1" x14ac:dyDescent="0.3">
      <c r="A17" s="36" t="s">
        <v>110</v>
      </c>
      <c r="B17" s="34"/>
      <c r="C17" s="34"/>
      <c r="D17" s="34"/>
      <c r="E17" s="34"/>
      <c r="F17" s="34"/>
      <c r="G17" s="34"/>
      <c r="H17" s="34"/>
      <c r="I17" s="35"/>
    </row>
    <row r="18" spans="1:9" ht="18" customHeight="1" x14ac:dyDescent="0.3">
      <c r="A18" s="37" t="s">
        <v>111</v>
      </c>
      <c r="B18" s="34"/>
      <c r="C18" s="34"/>
      <c r="D18" s="34"/>
      <c r="E18" s="34"/>
      <c r="F18" s="34"/>
      <c r="G18" s="34"/>
      <c r="H18" s="34"/>
      <c r="I18" s="35"/>
    </row>
    <row r="19" spans="1:9" ht="36" customHeight="1" x14ac:dyDescent="0.3">
      <c r="A19" s="1" t="s">
        <v>112</v>
      </c>
      <c r="B19" s="1" t="s">
        <v>113</v>
      </c>
      <c r="C19" s="1" t="s">
        <v>114</v>
      </c>
      <c r="D19" s="1" t="s">
        <v>115</v>
      </c>
      <c r="E19" s="1" t="s">
        <v>116</v>
      </c>
      <c r="F19" s="1" t="s">
        <v>117</v>
      </c>
      <c r="G19" s="1" t="s">
        <v>118</v>
      </c>
      <c r="H19" s="1" t="s">
        <v>119</v>
      </c>
      <c r="I19" s="1" t="s">
        <v>120</v>
      </c>
    </row>
    <row r="20" spans="1:9" ht="19.5" customHeight="1" x14ac:dyDescent="0.3">
      <c r="A20" s="11" t="s">
        <v>121</v>
      </c>
      <c r="B20" s="16">
        <v>45306</v>
      </c>
      <c r="C20" s="13">
        <f>YEAR(B20)</f>
        <v>2024</v>
      </c>
      <c r="D20" s="13">
        <f>MONTH(B20)</f>
        <v>1</v>
      </c>
      <c r="E20" s="13">
        <f>DAY(B20)</f>
        <v>15</v>
      </c>
      <c r="F20" s="17">
        <f>DATE(C20,D20,E20)</f>
        <v>45306</v>
      </c>
      <c r="G20" s="13" t="str">
        <f>TEXT(B20,"MMMM-YYYY")</f>
        <v>January-2024</v>
      </c>
      <c r="H20" s="13" t="str">
        <f>TEXT(B20,"MMMM")</f>
        <v>January</v>
      </c>
      <c r="I20" s="13" t="str">
        <f>TEXT(B20,"DDDD")</f>
        <v>Monday</v>
      </c>
    </row>
    <row r="21" spans="1:9" ht="19.5" customHeight="1" x14ac:dyDescent="0.3">
      <c r="A21" s="14" t="s">
        <v>122</v>
      </c>
      <c r="B21" s="18">
        <v>45141</v>
      </c>
      <c r="C21" s="13">
        <f t="shared" ref="C21:C26" si="4">YEAR(B21)</f>
        <v>2023</v>
      </c>
      <c r="D21" s="13">
        <f t="shared" ref="D21:D26" si="5">MONTH(B21)</f>
        <v>8</v>
      </c>
      <c r="E21" s="13">
        <f t="shared" ref="E21:E26" si="6">DAY(B21)</f>
        <v>3</v>
      </c>
      <c r="F21" s="17">
        <f t="shared" ref="F21:F26" si="7">DATE(C21,D21,E21)</f>
        <v>45141</v>
      </c>
      <c r="G21" s="13" t="str">
        <f t="shared" ref="G21:G26" si="8">TEXT(B21,"MMMM-YYYY")</f>
        <v>August-2023</v>
      </c>
      <c r="H21" s="13" t="str">
        <f t="shared" ref="H21:H26" si="9">TEXT(B21,"MMMM")</f>
        <v>August</v>
      </c>
      <c r="I21" s="13" t="str">
        <f t="shared" ref="I21:I26" si="10">TEXT(B21,"DDDD")</f>
        <v>Thursday</v>
      </c>
    </row>
    <row r="22" spans="1:9" ht="19.5" customHeight="1" x14ac:dyDescent="0.3">
      <c r="A22" s="11" t="s">
        <v>123</v>
      </c>
      <c r="B22" s="16">
        <v>45373</v>
      </c>
      <c r="C22" s="13">
        <f t="shared" si="4"/>
        <v>2024</v>
      </c>
      <c r="D22" s="13">
        <f t="shared" si="5"/>
        <v>3</v>
      </c>
      <c r="E22" s="13">
        <f t="shared" si="6"/>
        <v>22</v>
      </c>
      <c r="F22" s="17">
        <f t="shared" si="7"/>
        <v>45373</v>
      </c>
      <c r="G22" s="13" t="str">
        <f t="shared" si="8"/>
        <v>March-2024</v>
      </c>
      <c r="H22" s="13" t="str">
        <f t="shared" si="9"/>
        <v>March</v>
      </c>
      <c r="I22" s="13" t="str">
        <f t="shared" si="10"/>
        <v>Friday</v>
      </c>
    </row>
    <row r="23" spans="1:9" ht="19.5" customHeight="1" x14ac:dyDescent="0.3">
      <c r="A23" s="14" t="s">
        <v>124</v>
      </c>
      <c r="B23" s="18">
        <v>45237</v>
      </c>
      <c r="C23" s="13">
        <f t="shared" si="4"/>
        <v>2023</v>
      </c>
      <c r="D23" s="13">
        <f t="shared" si="5"/>
        <v>11</v>
      </c>
      <c r="E23" s="13">
        <f t="shared" si="6"/>
        <v>7</v>
      </c>
      <c r="F23" s="17">
        <f t="shared" si="7"/>
        <v>45237</v>
      </c>
      <c r="G23" s="13" t="str">
        <f t="shared" si="8"/>
        <v>November-2023</v>
      </c>
      <c r="H23" s="13" t="str">
        <f t="shared" si="9"/>
        <v>November</v>
      </c>
      <c r="I23" s="13" t="str">
        <f t="shared" si="10"/>
        <v>Tuesday</v>
      </c>
    </row>
    <row r="24" spans="1:9" ht="19.5" customHeight="1" x14ac:dyDescent="0.3">
      <c r="A24" s="11" t="s">
        <v>125</v>
      </c>
      <c r="B24" s="16">
        <v>45473</v>
      </c>
      <c r="C24" s="13">
        <f t="shared" si="4"/>
        <v>2024</v>
      </c>
      <c r="D24" s="13">
        <f t="shared" si="5"/>
        <v>6</v>
      </c>
      <c r="E24" s="13">
        <f t="shared" si="6"/>
        <v>30</v>
      </c>
      <c r="F24" s="17">
        <f t="shared" si="7"/>
        <v>45473</v>
      </c>
      <c r="G24" s="13" t="str">
        <f t="shared" si="8"/>
        <v>June-2024</v>
      </c>
      <c r="H24" s="13" t="str">
        <f t="shared" si="9"/>
        <v>June</v>
      </c>
      <c r="I24" s="13" t="str">
        <f t="shared" si="10"/>
        <v>Sunday</v>
      </c>
    </row>
    <row r="25" spans="1:9" ht="19.5" customHeight="1" x14ac:dyDescent="0.3">
      <c r="A25" s="14" t="s">
        <v>126</v>
      </c>
      <c r="B25" s="18">
        <v>45034</v>
      </c>
      <c r="C25" s="13">
        <f t="shared" si="4"/>
        <v>2023</v>
      </c>
      <c r="D25" s="13">
        <f t="shared" si="5"/>
        <v>4</v>
      </c>
      <c r="E25" s="13">
        <f t="shared" si="6"/>
        <v>18</v>
      </c>
      <c r="F25" s="17">
        <f t="shared" si="7"/>
        <v>45034</v>
      </c>
      <c r="G25" s="13" t="str">
        <f t="shared" si="8"/>
        <v>April-2023</v>
      </c>
      <c r="H25" s="13" t="str">
        <f t="shared" si="9"/>
        <v>April</v>
      </c>
      <c r="I25" s="13" t="str">
        <f t="shared" si="10"/>
        <v>Tuesday</v>
      </c>
    </row>
    <row r="26" spans="1:9" ht="19.5" customHeight="1" x14ac:dyDescent="0.3">
      <c r="A26" s="11" t="s">
        <v>127</v>
      </c>
      <c r="B26" s="16">
        <v>45540</v>
      </c>
      <c r="C26" s="13">
        <f t="shared" si="4"/>
        <v>2024</v>
      </c>
      <c r="D26" s="13">
        <f t="shared" si="5"/>
        <v>9</v>
      </c>
      <c r="E26" s="13">
        <f t="shared" si="6"/>
        <v>5</v>
      </c>
      <c r="F26" s="17">
        <f t="shared" si="7"/>
        <v>45540</v>
      </c>
      <c r="G26" s="13" t="str">
        <f t="shared" si="8"/>
        <v>September-2024</v>
      </c>
      <c r="H26" s="13" t="str">
        <f t="shared" si="9"/>
        <v>September</v>
      </c>
      <c r="I26" s="13" t="str">
        <f t="shared" si="10"/>
        <v>Thursday</v>
      </c>
    </row>
    <row r="27" spans="1:9" ht="9.75" customHeight="1" x14ac:dyDescent="0.3"/>
    <row r="28" spans="1:9" ht="18" customHeight="1" x14ac:dyDescent="0.3">
      <c r="A28" s="36" t="s">
        <v>128</v>
      </c>
      <c r="B28" s="34"/>
      <c r="C28" s="34"/>
      <c r="D28" s="34"/>
      <c r="E28" s="34"/>
      <c r="F28" s="34"/>
      <c r="G28" s="34"/>
      <c r="H28" s="34"/>
      <c r="I28" s="35"/>
    </row>
    <row r="29" spans="1:9" ht="18" customHeight="1" x14ac:dyDescent="0.3">
      <c r="A29" s="37" t="s">
        <v>129</v>
      </c>
      <c r="B29" s="34"/>
      <c r="C29" s="34"/>
      <c r="D29" s="34"/>
      <c r="E29" s="34"/>
      <c r="F29" s="34"/>
      <c r="G29" s="34"/>
      <c r="H29" s="34"/>
      <c r="I29" s="35"/>
    </row>
    <row r="30" spans="1:9" ht="36" customHeight="1" x14ac:dyDescent="0.3">
      <c r="A30" s="1" t="s">
        <v>130</v>
      </c>
      <c r="B30" s="1" t="s">
        <v>131</v>
      </c>
      <c r="C30" s="1" t="s">
        <v>132</v>
      </c>
      <c r="D30" s="1" t="s">
        <v>133</v>
      </c>
      <c r="E30" s="1" t="s">
        <v>134</v>
      </c>
      <c r="F30" s="1" t="s">
        <v>135</v>
      </c>
      <c r="G30" s="1" t="s">
        <v>136</v>
      </c>
    </row>
    <row r="31" spans="1:9" ht="19.5" customHeight="1" x14ac:dyDescent="0.3">
      <c r="A31" s="11" t="s">
        <v>137</v>
      </c>
      <c r="B31" s="16">
        <v>43556</v>
      </c>
      <c r="C31" s="16">
        <v>45382</v>
      </c>
      <c r="D31" s="13">
        <f>DATEDIF(B31,C31,"Y")</f>
        <v>4</v>
      </c>
      <c r="E31" s="13">
        <f>DATEDIF(B31,C31,"M")</f>
        <v>59</v>
      </c>
      <c r="F31" s="13">
        <f>DATEDIF(B31,C31,"D")</f>
        <v>1826</v>
      </c>
      <c r="G31" s="13">
        <f>NETWORKDAYS(B31,C31)</f>
        <v>1305</v>
      </c>
    </row>
    <row r="32" spans="1:9" ht="19.5" customHeight="1" x14ac:dyDescent="0.3">
      <c r="A32" s="14" t="s">
        <v>138</v>
      </c>
      <c r="B32" s="18">
        <v>44392</v>
      </c>
      <c r="C32" s="18">
        <v>45852</v>
      </c>
      <c r="D32" s="13">
        <f t="shared" ref="D32:D36" si="11">DATEDIF(B32,C32,"Y")</f>
        <v>3</v>
      </c>
      <c r="E32" s="13">
        <f t="shared" ref="E32:E36" si="12">DATEDIF(B32,C32,"M")</f>
        <v>47</v>
      </c>
      <c r="F32" s="13">
        <f t="shared" ref="F32:F36" si="13">DATEDIF(B32,C32,"D")</f>
        <v>1460</v>
      </c>
      <c r="G32" s="13">
        <f t="shared" ref="G32:G36" si="14">NETWORKDAYS(B32,C32)</f>
        <v>1043</v>
      </c>
    </row>
    <row r="33" spans="1:9" ht="19.5" customHeight="1" x14ac:dyDescent="0.3">
      <c r="A33" s="11" t="s">
        <v>139</v>
      </c>
      <c r="B33" s="16">
        <v>43850</v>
      </c>
      <c r="C33" s="16">
        <v>44945</v>
      </c>
      <c r="D33" s="13">
        <f t="shared" si="11"/>
        <v>2</v>
      </c>
      <c r="E33" s="13">
        <f t="shared" si="12"/>
        <v>35</v>
      </c>
      <c r="F33" s="13">
        <f t="shared" si="13"/>
        <v>1095</v>
      </c>
      <c r="G33" s="13">
        <f t="shared" si="14"/>
        <v>784</v>
      </c>
    </row>
    <row r="34" spans="1:9" ht="19.5" customHeight="1" x14ac:dyDescent="0.3">
      <c r="A34" s="14" t="s">
        <v>140</v>
      </c>
      <c r="B34" s="18">
        <v>44809</v>
      </c>
      <c r="C34" s="18">
        <v>46269</v>
      </c>
      <c r="D34" s="13">
        <f t="shared" si="11"/>
        <v>3</v>
      </c>
      <c r="E34" s="13">
        <f t="shared" si="12"/>
        <v>47</v>
      </c>
      <c r="F34" s="13">
        <f t="shared" si="13"/>
        <v>1460</v>
      </c>
      <c r="G34" s="13">
        <f t="shared" si="14"/>
        <v>1045</v>
      </c>
    </row>
    <row r="35" spans="1:9" ht="19.5" customHeight="1" x14ac:dyDescent="0.3">
      <c r="A35" s="11" t="s">
        <v>141</v>
      </c>
      <c r="B35" s="16">
        <v>43261</v>
      </c>
      <c r="C35" s="16">
        <v>45086</v>
      </c>
      <c r="D35" s="13">
        <f t="shared" si="11"/>
        <v>4</v>
      </c>
      <c r="E35" s="13">
        <f t="shared" si="12"/>
        <v>59</v>
      </c>
      <c r="F35" s="13">
        <f t="shared" si="13"/>
        <v>1825</v>
      </c>
      <c r="G35" s="13">
        <f t="shared" si="14"/>
        <v>1305</v>
      </c>
    </row>
    <row r="36" spans="1:9" ht="19.5" customHeight="1" x14ac:dyDescent="0.3">
      <c r="A36" s="14" t="s">
        <v>142</v>
      </c>
      <c r="B36" s="18">
        <v>44986</v>
      </c>
      <c r="C36" s="18">
        <v>46446</v>
      </c>
      <c r="D36" s="13">
        <f t="shared" si="11"/>
        <v>3</v>
      </c>
      <c r="E36" s="13">
        <f t="shared" si="12"/>
        <v>47</v>
      </c>
      <c r="F36" s="13">
        <f t="shared" si="13"/>
        <v>1460</v>
      </c>
      <c r="G36" s="13">
        <f t="shared" si="14"/>
        <v>1043</v>
      </c>
    </row>
    <row r="37" spans="1:9" ht="9.75" customHeight="1" x14ac:dyDescent="0.3"/>
    <row r="38" spans="1:9" ht="18" customHeight="1" x14ac:dyDescent="0.3">
      <c r="A38" s="36" t="s">
        <v>143</v>
      </c>
      <c r="B38" s="34"/>
      <c r="C38" s="34"/>
      <c r="D38" s="34"/>
      <c r="E38" s="34"/>
      <c r="F38" s="34"/>
      <c r="G38" s="34"/>
      <c r="H38" s="34"/>
      <c r="I38" s="35"/>
    </row>
    <row r="39" spans="1:9" ht="18" customHeight="1" x14ac:dyDescent="0.3">
      <c r="A39" s="37" t="s">
        <v>144</v>
      </c>
      <c r="B39" s="34"/>
      <c r="C39" s="34"/>
      <c r="D39" s="34"/>
      <c r="E39" s="34"/>
      <c r="F39" s="34"/>
      <c r="G39" s="34"/>
      <c r="H39" s="34"/>
      <c r="I39" s="35"/>
    </row>
    <row r="40" spans="1:9" ht="36" customHeight="1" x14ac:dyDescent="0.3">
      <c r="A40" s="1" t="s">
        <v>112</v>
      </c>
      <c r="B40" s="1" t="s">
        <v>145</v>
      </c>
      <c r="C40" s="1" t="s">
        <v>146</v>
      </c>
      <c r="D40" s="1" t="s">
        <v>147</v>
      </c>
      <c r="E40" s="1" t="s">
        <v>148</v>
      </c>
      <c r="F40" s="1" t="s">
        <v>149</v>
      </c>
      <c r="G40" s="1" t="s">
        <v>150</v>
      </c>
      <c r="H40" s="1" t="s">
        <v>151</v>
      </c>
    </row>
    <row r="41" spans="1:9" ht="19.5" customHeight="1" x14ac:dyDescent="0.3">
      <c r="A41" s="11" t="s">
        <v>152</v>
      </c>
      <c r="B41" s="16">
        <v>45296</v>
      </c>
      <c r="C41" s="19">
        <v>3</v>
      </c>
      <c r="D41" s="17">
        <f>EDATE(B41,-C41)</f>
        <v>45204</v>
      </c>
      <c r="E41" s="17">
        <f>EDATE(B41,1)</f>
        <v>45327</v>
      </c>
      <c r="F41" s="19">
        <v>9</v>
      </c>
      <c r="G41" s="19">
        <v>30</v>
      </c>
      <c r="H41" s="20">
        <f>TIME(F41,G41,0)</f>
        <v>0.39583333333333331</v>
      </c>
    </row>
    <row r="42" spans="1:9" ht="19.5" customHeight="1" x14ac:dyDescent="0.3">
      <c r="A42" s="14" t="s">
        <v>153</v>
      </c>
      <c r="B42" s="18">
        <v>45336</v>
      </c>
      <c r="C42" s="21">
        <v>6</v>
      </c>
      <c r="D42" s="17">
        <f t="shared" ref="D42:D46" si="15">EDATE(B42,-C42)</f>
        <v>45152</v>
      </c>
      <c r="E42" s="17">
        <f t="shared" ref="E42:E46" si="16">EDATE(B42,1)</f>
        <v>45365</v>
      </c>
      <c r="F42" s="21">
        <v>10</v>
      </c>
      <c r="G42" s="21">
        <v>0</v>
      </c>
      <c r="H42" s="20">
        <f t="shared" ref="H42:H46" si="17">TIME(F42,G42,0)</f>
        <v>0.41666666666666669</v>
      </c>
    </row>
    <row r="43" spans="1:9" ht="19.5" customHeight="1" x14ac:dyDescent="0.3">
      <c r="A43" s="11" t="s">
        <v>154</v>
      </c>
      <c r="B43" s="16">
        <v>45371</v>
      </c>
      <c r="C43" s="19">
        <v>1</v>
      </c>
      <c r="D43" s="17">
        <f t="shared" si="15"/>
        <v>45342</v>
      </c>
      <c r="E43" s="17">
        <f t="shared" si="16"/>
        <v>45402</v>
      </c>
      <c r="F43" s="19">
        <v>14</v>
      </c>
      <c r="G43" s="19">
        <v>15</v>
      </c>
      <c r="H43" s="20">
        <f t="shared" si="17"/>
        <v>0.59375</v>
      </c>
    </row>
    <row r="44" spans="1:9" ht="19.5" customHeight="1" x14ac:dyDescent="0.3">
      <c r="A44" s="14" t="s">
        <v>155</v>
      </c>
      <c r="B44" s="18">
        <v>45383</v>
      </c>
      <c r="C44" s="21">
        <v>12</v>
      </c>
      <c r="D44" s="17">
        <f t="shared" si="15"/>
        <v>45017</v>
      </c>
      <c r="E44" s="17">
        <f t="shared" si="16"/>
        <v>45413</v>
      </c>
      <c r="F44" s="21">
        <v>11</v>
      </c>
      <c r="G44" s="21">
        <v>30</v>
      </c>
      <c r="H44" s="20">
        <f t="shared" si="17"/>
        <v>0.47916666666666669</v>
      </c>
    </row>
    <row r="45" spans="1:9" ht="19.5" customHeight="1" x14ac:dyDescent="0.3">
      <c r="A45" s="11" t="s">
        <v>156</v>
      </c>
      <c r="B45" s="16">
        <v>45422</v>
      </c>
      <c r="C45" s="19">
        <v>6</v>
      </c>
      <c r="D45" s="17">
        <f t="shared" si="15"/>
        <v>45240</v>
      </c>
      <c r="E45" s="17">
        <f t="shared" si="16"/>
        <v>45453</v>
      </c>
      <c r="F45" s="19">
        <v>16</v>
      </c>
      <c r="G45" s="19">
        <v>0</v>
      </c>
      <c r="H45" s="20">
        <f t="shared" si="17"/>
        <v>0.66666666666666663</v>
      </c>
    </row>
    <row r="46" spans="1:9" ht="19.5" customHeight="1" x14ac:dyDescent="0.3">
      <c r="A46" s="14" t="s">
        <v>157</v>
      </c>
      <c r="B46" s="18">
        <v>45468</v>
      </c>
      <c r="C46" s="21">
        <v>3</v>
      </c>
      <c r="D46" s="17">
        <f t="shared" si="15"/>
        <v>45376</v>
      </c>
      <c r="E46" s="17">
        <f t="shared" si="16"/>
        <v>45498</v>
      </c>
      <c r="F46" s="21">
        <v>8</v>
      </c>
      <c r="G46" s="21">
        <v>45</v>
      </c>
      <c r="H46" s="20">
        <f t="shared" si="17"/>
        <v>0.36458333333333331</v>
      </c>
    </row>
    <row r="47" spans="1:9" ht="13.5" customHeight="1" x14ac:dyDescent="0.3">
      <c r="A47" s="37" t="s">
        <v>158</v>
      </c>
      <c r="B47" s="34"/>
      <c r="C47" s="34"/>
      <c r="D47" s="34"/>
      <c r="E47" s="34"/>
      <c r="F47" s="34"/>
      <c r="G47" s="34"/>
      <c r="H47" s="34"/>
      <c r="I47" s="35"/>
    </row>
    <row r="48" spans="1:9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4">
    <mergeCell ref="A39:I39"/>
    <mergeCell ref="A47:I47"/>
    <mergeCell ref="A1:I1"/>
    <mergeCell ref="A2:I2"/>
    <mergeCell ref="D3:E3"/>
    <mergeCell ref="D4:I4"/>
    <mergeCell ref="D5:I5"/>
    <mergeCell ref="A7:I7"/>
    <mergeCell ref="A8:I8"/>
    <mergeCell ref="A17:I17"/>
    <mergeCell ref="A18:I18"/>
    <mergeCell ref="A28:I28"/>
    <mergeCell ref="A29:I29"/>
    <mergeCell ref="A38:I38"/>
  </mergeCells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opLeftCell="A31" workbookViewId="0">
      <selection activeCell="H42" sqref="H42:H49"/>
    </sheetView>
  </sheetViews>
  <sheetFormatPr defaultColWidth="14.44140625" defaultRowHeight="15" customHeight="1" x14ac:dyDescent="0.3"/>
  <cols>
    <col min="1" max="2" width="16" customWidth="1"/>
    <col min="3" max="3" width="12" customWidth="1"/>
    <col min="4" max="4" width="10" customWidth="1"/>
    <col min="5" max="5" width="12" customWidth="1"/>
    <col min="6" max="8" width="18" customWidth="1"/>
    <col min="9" max="9" width="20" customWidth="1"/>
    <col min="10" max="26" width="8.5546875" customWidth="1"/>
  </cols>
  <sheetData>
    <row r="1" spans="1:9" ht="30" customHeight="1" x14ac:dyDescent="0.3">
      <c r="A1" s="38" t="s">
        <v>159</v>
      </c>
      <c r="B1" s="34"/>
      <c r="C1" s="34"/>
      <c r="D1" s="34"/>
      <c r="E1" s="34"/>
      <c r="F1" s="34"/>
      <c r="G1" s="34"/>
      <c r="H1" s="34"/>
      <c r="I1" s="35"/>
    </row>
    <row r="2" spans="1:9" ht="30" customHeight="1" x14ac:dyDescent="0.3">
      <c r="A2" s="37" t="s">
        <v>160</v>
      </c>
      <c r="B2" s="34"/>
      <c r="C2" s="34"/>
      <c r="D2" s="34"/>
      <c r="E2" s="34"/>
      <c r="F2" s="34"/>
      <c r="G2" s="34"/>
      <c r="H2" s="34"/>
      <c r="I2" s="35"/>
    </row>
    <row r="3" spans="1:9" ht="18" customHeight="1" x14ac:dyDescent="0.3">
      <c r="A3" s="36" t="s">
        <v>161</v>
      </c>
      <c r="B3" s="34"/>
      <c r="C3" s="34"/>
      <c r="D3" s="34"/>
      <c r="E3" s="34"/>
      <c r="F3" s="34"/>
      <c r="G3" s="34"/>
      <c r="H3" s="34"/>
      <c r="I3" s="35"/>
    </row>
    <row r="4" spans="1:9" ht="18" customHeight="1" x14ac:dyDescent="0.3">
      <c r="A4" s="39" t="s">
        <v>162</v>
      </c>
      <c r="B4" s="34"/>
      <c r="C4" s="34"/>
      <c r="D4" s="34"/>
      <c r="E4" s="34"/>
      <c r="F4" s="34"/>
      <c r="G4" s="34"/>
      <c r="H4" s="34"/>
      <c r="I4" s="35"/>
    </row>
    <row r="5" spans="1:9" ht="36" customHeight="1" x14ac:dyDescent="0.3">
      <c r="A5" s="22" t="s">
        <v>163</v>
      </c>
      <c r="B5" s="22" t="s">
        <v>164</v>
      </c>
      <c r="C5" s="22" t="s">
        <v>165</v>
      </c>
      <c r="D5" s="23" t="s">
        <v>166</v>
      </c>
      <c r="E5" s="23" t="s">
        <v>167</v>
      </c>
      <c r="F5" s="23" t="s">
        <v>168</v>
      </c>
      <c r="G5" s="23" t="s">
        <v>169</v>
      </c>
    </row>
    <row r="6" spans="1:9" ht="19.5" customHeight="1" x14ac:dyDescent="0.3">
      <c r="A6" s="11" t="s">
        <v>170</v>
      </c>
      <c r="B6" s="12">
        <v>45474.336944444498</v>
      </c>
      <c r="C6" s="12">
        <v>45474.673611111102</v>
      </c>
      <c r="D6" s="24">
        <f>HOUR(B6)</f>
        <v>8</v>
      </c>
      <c r="E6" s="24">
        <f>MINUTE(B6)</f>
        <v>5</v>
      </c>
      <c r="F6" s="24">
        <f>SECOND(B6)</f>
        <v>12</v>
      </c>
      <c r="G6" s="25">
        <f>HOUR(C6-B6)</f>
        <v>8</v>
      </c>
    </row>
    <row r="7" spans="1:9" ht="19.5" customHeight="1" x14ac:dyDescent="0.3">
      <c r="A7" s="26" t="s">
        <v>171</v>
      </c>
      <c r="B7" s="27">
        <v>45474.332465277803</v>
      </c>
      <c r="C7" s="27">
        <v>45474.583333333299</v>
      </c>
      <c r="D7" s="24">
        <f t="shared" ref="D7:D13" si="0">HOUR(B7)</f>
        <v>7</v>
      </c>
      <c r="E7" s="24">
        <f t="shared" ref="E7:E13" si="1">MINUTE(B7)</f>
        <v>58</v>
      </c>
      <c r="F7" s="24">
        <f t="shared" ref="F7:F13" si="2">SECOND(B7)</f>
        <v>45</v>
      </c>
      <c r="G7" s="25">
        <f t="shared" ref="G7:G13" si="3">HOUR(C7-B7)</f>
        <v>6</v>
      </c>
    </row>
    <row r="8" spans="1:9" ht="19.5" customHeight="1" x14ac:dyDescent="0.3">
      <c r="A8" s="11" t="s">
        <v>172</v>
      </c>
      <c r="B8" s="12">
        <v>45474.388923611099</v>
      </c>
      <c r="C8" s="12">
        <v>45474.729166666701</v>
      </c>
      <c r="D8" s="24">
        <f t="shared" si="0"/>
        <v>9</v>
      </c>
      <c r="E8" s="24">
        <f t="shared" si="1"/>
        <v>20</v>
      </c>
      <c r="F8" s="24">
        <f t="shared" si="2"/>
        <v>3</v>
      </c>
      <c r="G8" s="25">
        <f t="shared" si="3"/>
        <v>8</v>
      </c>
    </row>
    <row r="9" spans="1:9" ht="19.5" customHeight="1" x14ac:dyDescent="0.3">
      <c r="A9" s="26" t="s">
        <v>173</v>
      </c>
      <c r="B9" s="27">
        <v>45474.354166666701</v>
      </c>
      <c r="C9" s="27">
        <v>45474.6875</v>
      </c>
      <c r="D9" s="24">
        <f t="shared" si="0"/>
        <v>8</v>
      </c>
      <c r="E9" s="24">
        <f t="shared" si="1"/>
        <v>30</v>
      </c>
      <c r="F9" s="24">
        <f t="shared" si="2"/>
        <v>0</v>
      </c>
      <c r="G9" s="25">
        <f t="shared" si="3"/>
        <v>8</v>
      </c>
    </row>
    <row r="10" spans="1:9" ht="19.5" customHeight="1" x14ac:dyDescent="0.3">
      <c r="A10" s="11" t="s">
        <v>174</v>
      </c>
      <c r="B10" s="12">
        <v>45474.418692129599</v>
      </c>
      <c r="C10" s="12">
        <v>45474.75</v>
      </c>
      <c r="D10" s="24">
        <f t="shared" si="0"/>
        <v>10</v>
      </c>
      <c r="E10" s="24">
        <f t="shared" si="1"/>
        <v>2</v>
      </c>
      <c r="F10" s="24">
        <f t="shared" si="2"/>
        <v>55</v>
      </c>
      <c r="G10" s="25">
        <f t="shared" si="3"/>
        <v>7</v>
      </c>
    </row>
    <row r="11" spans="1:9" ht="19.5" customHeight="1" x14ac:dyDescent="0.3">
      <c r="A11" s="26" t="s">
        <v>175</v>
      </c>
      <c r="B11" s="27">
        <v>45474.323032407403</v>
      </c>
      <c r="C11" s="27">
        <v>45474.572916666701</v>
      </c>
      <c r="D11" s="24">
        <f t="shared" si="0"/>
        <v>7</v>
      </c>
      <c r="E11" s="24">
        <f t="shared" si="1"/>
        <v>45</v>
      </c>
      <c r="F11" s="24">
        <f t="shared" si="2"/>
        <v>10</v>
      </c>
      <c r="G11" s="25">
        <f t="shared" si="3"/>
        <v>5</v>
      </c>
    </row>
    <row r="12" spans="1:9" ht="19.5" customHeight="1" x14ac:dyDescent="0.3">
      <c r="A12" s="11" t="s">
        <v>176</v>
      </c>
      <c r="B12" s="12">
        <v>45474.34375</v>
      </c>
      <c r="C12" s="12">
        <v>45474.708333333299</v>
      </c>
      <c r="D12" s="24">
        <f t="shared" si="0"/>
        <v>8</v>
      </c>
      <c r="E12" s="24">
        <f t="shared" si="1"/>
        <v>15</v>
      </c>
      <c r="F12" s="24">
        <f t="shared" si="2"/>
        <v>0</v>
      </c>
      <c r="G12" s="25">
        <f t="shared" si="3"/>
        <v>8</v>
      </c>
    </row>
    <row r="13" spans="1:9" ht="19.5" customHeight="1" x14ac:dyDescent="0.3">
      <c r="A13" s="26" t="s">
        <v>177</v>
      </c>
      <c r="B13" s="27">
        <v>45474.375347222202</v>
      </c>
      <c r="C13" s="27">
        <v>45474.645833333299</v>
      </c>
      <c r="D13" s="24">
        <f t="shared" si="0"/>
        <v>9</v>
      </c>
      <c r="E13" s="24">
        <f t="shared" si="1"/>
        <v>0</v>
      </c>
      <c r="F13" s="24">
        <f t="shared" si="2"/>
        <v>30</v>
      </c>
      <c r="G13" s="25">
        <f t="shared" si="3"/>
        <v>6</v>
      </c>
    </row>
    <row r="14" spans="1:9" ht="9.75" customHeight="1" x14ac:dyDescent="0.3"/>
    <row r="15" spans="1:9" ht="18" customHeight="1" x14ac:dyDescent="0.3">
      <c r="A15" s="36" t="s">
        <v>178</v>
      </c>
      <c r="B15" s="34"/>
      <c r="C15" s="34"/>
      <c r="D15" s="34"/>
      <c r="E15" s="34"/>
      <c r="F15" s="34"/>
      <c r="G15" s="34"/>
      <c r="H15" s="34"/>
      <c r="I15" s="35"/>
    </row>
    <row r="16" spans="1:9" ht="18" customHeight="1" x14ac:dyDescent="0.3">
      <c r="A16" s="39" t="s">
        <v>179</v>
      </c>
      <c r="B16" s="34"/>
      <c r="C16" s="34"/>
      <c r="D16" s="34"/>
      <c r="E16" s="34"/>
      <c r="F16" s="34"/>
      <c r="G16" s="34"/>
      <c r="H16" s="34"/>
      <c r="I16" s="35"/>
    </row>
    <row r="17" spans="1:9" ht="36" customHeight="1" x14ac:dyDescent="0.3">
      <c r="A17" s="22" t="s">
        <v>180</v>
      </c>
      <c r="B17" s="22" t="s">
        <v>181</v>
      </c>
      <c r="C17" s="22" t="s">
        <v>182</v>
      </c>
      <c r="D17" s="23" t="s">
        <v>183</v>
      </c>
      <c r="E17" s="23" t="s">
        <v>184</v>
      </c>
      <c r="F17" s="23" t="s">
        <v>185</v>
      </c>
      <c r="G17" s="23" t="s">
        <v>186</v>
      </c>
      <c r="H17" s="23" t="s">
        <v>187</v>
      </c>
      <c r="I17" s="23" t="s">
        <v>188</v>
      </c>
    </row>
    <row r="18" spans="1:9" ht="19.5" customHeight="1" x14ac:dyDescent="0.3">
      <c r="A18" s="19" t="s">
        <v>189</v>
      </c>
      <c r="B18" s="16">
        <v>45306</v>
      </c>
      <c r="C18" s="11" t="s">
        <v>121</v>
      </c>
      <c r="D18" s="24">
        <f>YEAR(B18)</f>
        <v>2024</v>
      </c>
      <c r="E18" s="25">
        <f>MONTH(B18)</f>
        <v>1</v>
      </c>
      <c r="F18" s="24">
        <f>DAY(B18)</f>
        <v>15</v>
      </c>
      <c r="G18" s="24" t="str">
        <f>TEXT(B18,"MMMM")</f>
        <v>January</v>
      </c>
      <c r="H18" s="24" t="str">
        <f>TEXT(B18,"DD")</f>
        <v>15</v>
      </c>
      <c r="I18" s="24" t="str">
        <f>TEXT(B18,"MMMM YYYY")</f>
        <v>January 2024</v>
      </c>
    </row>
    <row r="19" spans="1:9" ht="19.5" customHeight="1" x14ac:dyDescent="0.3">
      <c r="A19" s="28" t="s">
        <v>190</v>
      </c>
      <c r="B19" s="29">
        <v>45141</v>
      </c>
      <c r="C19" s="26" t="s">
        <v>122</v>
      </c>
      <c r="D19" s="24">
        <f t="shared" ref="D19:D25" si="4">YEAR(B19)</f>
        <v>2023</v>
      </c>
      <c r="E19" s="25">
        <f t="shared" ref="E19:E25" si="5">MONTH(B19)</f>
        <v>8</v>
      </c>
      <c r="F19" s="24">
        <f t="shared" ref="F19:F25" si="6">DAY(B19)</f>
        <v>3</v>
      </c>
      <c r="G19" s="24" t="str">
        <f t="shared" ref="G19:G25" si="7">TEXT(B19,"MMMM")</f>
        <v>August</v>
      </c>
      <c r="H19" s="24" t="str">
        <f t="shared" ref="H19:H25" si="8">TEXT(B19,"DD")</f>
        <v>03</v>
      </c>
      <c r="I19" s="24" t="str">
        <f t="shared" ref="I19:I25" si="9">TEXT(B19,"MMMM YYYY")</f>
        <v>August 2023</v>
      </c>
    </row>
    <row r="20" spans="1:9" ht="19.5" customHeight="1" x14ac:dyDescent="0.3">
      <c r="A20" s="19" t="s">
        <v>191</v>
      </c>
      <c r="B20" s="16">
        <v>45373</v>
      </c>
      <c r="C20" s="11" t="s">
        <v>123</v>
      </c>
      <c r="D20" s="24">
        <f t="shared" si="4"/>
        <v>2024</v>
      </c>
      <c r="E20" s="25">
        <f t="shared" si="5"/>
        <v>3</v>
      </c>
      <c r="F20" s="24">
        <f t="shared" si="6"/>
        <v>22</v>
      </c>
      <c r="G20" s="24" t="str">
        <f t="shared" si="7"/>
        <v>March</v>
      </c>
      <c r="H20" s="24" t="str">
        <f t="shared" si="8"/>
        <v>22</v>
      </c>
      <c r="I20" s="24" t="str">
        <f t="shared" si="9"/>
        <v>March 2024</v>
      </c>
    </row>
    <row r="21" spans="1:9" ht="19.5" customHeight="1" x14ac:dyDescent="0.3">
      <c r="A21" s="28" t="s">
        <v>192</v>
      </c>
      <c r="B21" s="29">
        <v>45237</v>
      </c>
      <c r="C21" s="26" t="s">
        <v>124</v>
      </c>
      <c r="D21" s="24">
        <f t="shared" si="4"/>
        <v>2023</v>
      </c>
      <c r="E21" s="25">
        <f t="shared" si="5"/>
        <v>11</v>
      </c>
      <c r="F21" s="24">
        <f t="shared" si="6"/>
        <v>7</v>
      </c>
      <c r="G21" s="24" t="str">
        <f t="shared" si="7"/>
        <v>November</v>
      </c>
      <c r="H21" s="24" t="str">
        <f t="shared" si="8"/>
        <v>07</v>
      </c>
      <c r="I21" s="24" t="str">
        <f t="shared" si="9"/>
        <v>November 2023</v>
      </c>
    </row>
    <row r="22" spans="1:9" ht="19.5" customHeight="1" x14ac:dyDescent="0.3">
      <c r="A22" s="19" t="s">
        <v>193</v>
      </c>
      <c r="B22" s="16">
        <v>45473</v>
      </c>
      <c r="C22" s="11" t="s">
        <v>125</v>
      </c>
      <c r="D22" s="24">
        <f t="shared" si="4"/>
        <v>2024</v>
      </c>
      <c r="E22" s="25">
        <f t="shared" si="5"/>
        <v>6</v>
      </c>
      <c r="F22" s="24">
        <f t="shared" si="6"/>
        <v>30</v>
      </c>
      <c r="G22" s="24" t="str">
        <f t="shared" si="7"/>
        <v>June</v>
      </c>
      <c r="H22" s="24" t="str">
        <f t="shared" si="8"/>
        <v>30</v>
      </c>
      <c r="I22" s="24" t="str">
        <f t="shared" si="9"/>
        <v>June 2024</v>
      </c>
    </row>
    <row r="23" spans="1:9" ht="19.5" customHeight="1" x14ac:dyDescent="0.3">
      <c r="A23" s="28" t="s">
        <v>194</v>
      </c>
      <c r="B23" s="29">
        <v>45034</v>
      </c>
      <c r="C23" s="26" t="s">
        <v>126</v>
      </c>
      <c r="D23" s="24">
        <f t="shared" si="4"/>
        <v>2023</v>
      </c>
      <c r="E23" s="25">
        <f t="shared" si="5"/>
        <v>4</v>
      </c>
      <c r="F23" s="24">
        <f t="shared" si="6"/>
        <v>18</v>
      </c>
      <c r="G23" s="24" t="str">
        <f t="shared" si="7"/>
        <v>April</v>
      </c>
      <c r="H23" s="24" t="str">
        <f t="shared" si="8"/>
        <v>18</v>
      </c>
      <c r="I23" s="24" t="str">
        <f t="shared" si="9"/>
        <v>April 2023</v>
      </c>
    </row>
    <row r="24" spans="1:9" ht="19.5" customHeight="1" x14ac:dyDescent="0.3">
      <c r="A24" s="19" t="s">
        <v>195</v>
      </c>
      <c r="B24" s="16">
        <v>45540</v>
      </c>
      <c r="C24" s="11" t="s">
        <v>127</v>
      </c>
      <c r="D24" s="24">
        <f t="shared" si="4"/>
        <v>2024</v>
      </c>
      <c r="E24" s="25">
        <f t="shared" si="5"/>
        <v>9</v>
      </c>
      <c r="F24" s="24">
        <f t="shared" si="6"/>
        <v>5</v>
      </c>
      <c r="G24" s="24" t="str">
        <f t="shared" si="7"/>
        <v>September</v>
      </c>
      <c r="H24" s="24" t="str">
        <f t="shared" si="8"/>
        <v>05</v>
      </c>
      <c r="I24" s="24" t="str">
        <f t="shared" si="9"/>
        <v>September 2024</v>
      </c>
    </row>
    <row r="25" spans="1:9" ht="19.5" customHeight="1" x14ac:dyDescent="0.3">
      <c r="A25" s="28" t="s">
        <v>196</v>
      </c>
      <c r="B25" s="29">
        <v>45351</v>
      </c>
      <c r="C25" s="26" t="s">
        <v>197</v>
      </c>
      <c r="D25" s="24">
        <f t="shared" si="4"/>
        <v>2024</v>
      </c>
      <c r="E25" s="25">
        <f t="shared" si="5"/>
        <v>2</v>
      </c>
      <c r="F25" s="24">
        <f t="shared" si="6"/>
        <v>29</v>
      </c>
      <c r="G25" s="24" t="str">
        <f t="shared" si="7"/>
        <v>February</v>
      </c>
      <c r="H25" s="24" t="str">
        <f t="shared" si="8"/>
        <v>29</v>
      </c>
      <c r="I25" s="24" t="str">
        <f t="shared" si="9"/>
        <v>February 2024</v>
      </c>
    </row>
    <row r="26" spans="1:9" ht="9.75" customHeight="1" x14ac:dyDescent="0.3"/>
    <row r="27" spans="1:9" ht="18" customHeight="1" x14ac:dyDescent="0.3">
      <c r="A27" s="36" t="s">
        <v>198</v>
      </c>
      <c r="B27" s="34"/>
      <c r="C27" s="34"/>
      <c r="D27" s="34"/>
      <c r="E27" s="34"/>
      <c r="F27" s="34"/>
      <c r="G27" s="34"/>
      <c r="H27" s="34"/>
      <c r="I27" s="35"/>
    </row>
    <row r="28" spans="1:9" ht="18" customHeight="1" x14ac:dyDescent="0.3">
      <c r="A28" s="39" t="s">
        <v>199</v>
      </c>
      <c r="B28" s="34"/>
      <c r="C28" s="34"/>
      <c r="D28" s="34"/>
      <c r="E28" s="34"/>
      <c r="F28" s="34"/>
      <c r="G28" s="34"/>
      <c r="H28" s="34"/>
      <c r="I28" s="35"/>
    </row>
    <row r="29" spans="1:9" ht="36" customHeight="1" x14ac:dyDescent="0.3">
      <c r="A29" s="22" t="s">
        <v>200</v>
      </c>
      <c r="B29" s="22" t="s">
        <v>201</v>
      </c>
      <c r="C29" s="22" t="s">
        <v>202</v>
      </c>
      <c r="D29" s="23" t="s">
        <v>203</v>
      </c>
      <c r="E29" s="23" t="s">
        <v>204</v>
      </c>
      <c r="F29" s="23" t="s">
        <v>205</v>
      </c>
      <c r="G29" s="23" t="s">
        <v>206</v>
      </c>
    </row>
    <row r="30" spans="1:9" ht="19.5" customHeight="1" x14ac:dyDescent="0.3">
      <c r="A30" s="11" t="s">
        <v>207</v>
      </c>
      <c r="B30" s="16">
        <v>44571</v>
      </c>
      <c r="C30" s="16">
        <v>45376</v>
      </c>
      <c r="D30" s="24">
        <f>YEAR(B30)</f>
        <v>2022</v>
      </c>
      <c r="E30" s="24">
        <f xml:space="preserve"> MONTH(B30)</f>
        <v>1</v>
      </c>
      <c r="F30" s="24">
        <f>DAY(B30)</f>
        <v>10</v>
      </c>
      <c r="G30" s="24">
        <f>NETWORKDAYS(B30,C30)</f>
        <v>576</v>
      </c>
    </row>
    <row r="31" spans="1:9" ht="19.5" customHeight="1" x14ac:dyDescent="0.3">
      <c r="A31" s="26" t="s">
        <v>208</v>
      </c>
      <c r="B31" s="29">
        <v>44986</v>
      </c>
      <c r="C31" s="29">
        <v>45473</v>
      </c>
      <c r="D31" s="24">
        <f t="shared" ref="D31:D37" si="10">YEAR(B31)</f>
        <v>2023</v>
      </c>
      <c r="E31" s="24">
        <f t="shared" ref="E31:E37" si="11" xml:space="preserve"> MONTH(B31)</f>
        <v>3</v>
      </c>
      <c r="F31" s="24">
        <f t="shared" ref="F31:F37" si="12">DAY(B31)</f>
        <v>1</v>
      </c>
      <c r="G31" s="24">
        <f t="shared" ref="G31:G37" si="13">NETWORKDAYS(B31,C31)</f>
        <v>348</v>
      </c>
    </row>
    <row r="32" spans="1:9" ht="19.5" customHeight="1" x14ac:dyDescent="0.3">
      <c r="A32" s="11" t="s">
        <v>209</v>
      </c>
      <c r="B32" s="16">
        <v>44331</v>
      </c>
      <c r="C32" s="16">
        <v>45189</v>
      </c>
      <c r="D32" s="24">
        <f t="shared" si="10"/>
        <v>2021</v>
      </c>
      <c r="E32" s="24">
        <f t="shared" si="11"/>
        <v>5</v>
      </c>
      <c r="F32" s="24">
        <f t="shared" si="12"/>
        <v>15</v>
      </c>
      <c r="G32" s="24">
        <f t="shared" si="13"/>
        <v>613</v>
      </c>
    </row>
    <row r="33" spans="1:26" ht="19.5" customHeight="1" x14ac:dyDescent="0.3">
      <c r="A33" s="26" t="s">
        <v>210</v>
      </c>
      <c r="B33" s="29">
        <v>45139</v>
      </c>
      <c r="C33" s="29">
        <v>45657</v>
      </c>
      <c r="D33" s="24">
        <f t="shared" si="10"/>
        <v>2023</v>
      </c>
      <c r="E33" s="24">
        <f t="shared" si="11"/>
        <v>8</v>
      </c>
      <c r="F33" s="24">
        <f t="shared" si="12"/>
        <v>1</v>
      </c>
      <c r="G33" s="24">
        <f t="shared" si="13"/>
        <v>371</v>
      </c>
    </row>
    <row r="34" spans="1:26" ht="19.5" customHeight="1" x14ac:dyDescent="0.3">
      <c r="A34" s="11" t="s">
        <v>211</v>
      </c>
      <c r="B34" s="16">
        <v>44844</v>
      </c>
      <c r="C34" s="16">
        <v>45350</v>
      </c>
      <c r="D34" s="24">
        <f t="shared" si="10"/>
        <v>2022</v>
      </c>
      <c r="E34" s="24">
        <f t="shared" si="11"/>
        <v>10</v>
      </c>
      <c r="F34" s="24">
        <f t="shared" si="12"/>
        <v>10</v>
      </c>
      <c r="G34" s="24">
        <f t="shared" si="13"/>
        <v>363</v>
      </c>
    </row>
    <row r="35" spans="1:26" ht="19.5" customHeight="1" x14ac:dyDescent="0.3">
      <c r="A35" s="26" t="s">
        <v>212</v>
      </c>
      <c r="B35" s="29">
        <v>43983</v>
      </c>
      <c r="C35" s="29">
        <v>45291</v>
      </c>
      <c r="D35" s="24">
        <f t="shared" si="10"/>
        <v>2020</v>
      </c>
      <c r="E35" s="24">
        <f t="shared" si="11"/>
        <v>6</v>
      </c>
      <c r="F35" s="24">
        <f t="shared" si="12"/>
        <v>1</v>
      </c>
      <c r="G35" s="24">
        <f t="shared" si="13"/>
        <v>935</v>
      </c>
    </row>
    <row r="36" spans="1:26" ht="19.5" customHeight="1" x14ac:dyDescent="0.3">
      <c r="A36" s="11" t="s">
        <v>213</v>
      </c>
      <c r="B36" s="16">
        <v>44941</v>
      </c>
      <c r="C36" s="16">
        <v>45487</v>
      </c>
      <c r="D36" s="24">
        <f t="shared" si="10"/>
        <v>2023</v>
      </c>
      <c r="E36" s="24">
        <f t="shared" si="11"/>
        <v>1</v>
      </c>
      <c r="F36" s="24">
        <f t="shared" si="12"/>
        <v>15</v>
      </c>
      <c r="G36" s="24">
        <f t="shared" si="13"/>
        <v>390</v>
      </c>
    </row>
    <row r="37" spans="1:26" ht="19.5" customHeight="1" x14ac:dyDescent="0.3">
      <c r="A37" s="26" t="s">
        <v>214</v>
      </c>
      <c r="B37" s="29">
        <v>44656</v>
      </c>
      <c r="C37" s="29">
        <v>45203</v>
      </c>
      <c r="D37" s="24">
        <f t="shared" si="10"/>
        <v>2022</v>
      </c>
      <c r="E37" s="24">
        <f t="shared" si="11"/>
        <v>4</v>
      </c>
      <c r="F37" s="24">
        <f t="shared" si="12"/>
        <v>5</v>
      </c>
      <c r="G37" s="24">
        <f t="shared" si="13"/>
        <v>392</v>
      </c>
    </row>
    <row r="38" spans="1:26" ht="9.75" customHeight="1" x14ac:dyDescent="0.3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spans="1:26" ht="18" customHeight="1" x14ac:dyDescent="0.3">
      <c r="A39" s="36" t="s">
        <v>215</v>
      </c>
      <c r="B39" s="34"/>
      <c r="C39" s="34"/>
      <c r="D39" s="34"/>
      <c r="E39" s="34"/>
      <c r="F39" s="34"/>
      <c r="G39" s="34"/>
      <c r="H39" s="34"/>
      <c r="I39" s="35"/>
    </row>
    <row r="40" spans="1:26" ht="18" customHeight="1" x14ac:dyDescent="0.3">
      <c r="A40" s="39" t="s">
        <v>216</v>
      </c>
      <c r="B40" s="34"/>
      <c r="C40" s="34"/>
      <c r="D40" s="34"/>
      <c r="E40" s="34"/>
      <c r="F40" s="34"/>
      <c r="G40" s="34"/>
      <c r="H40" s="34"/>
      <c r="I40" s="35"/>
    </row>
    <row r="41" spans="1:26" ht="36" customHeight="1" x14ac:dyDescent="0.3">
      <c r="A41" s="22" t="s">
        <v>217</v>
      </c>
      <c r="B41" s="22" t="s">
        <v>201</v>
      </c>
      <c r="C41" s="22" t="s">
        <v>146</v>
      </c>
      <c r="D41" s="22" t="s">
        <v>149</v>
      </c>
      <c r="E41" s="22" t="s">
        <v>150</v>
      </c>
      <c r="F41" s="23" t="s">
        <v>218</v>
      </c>
      <c r="G41" s="23" t="s">
        <v>219</v>
      </c>
      <c r="H41" s="23" t="s">
        <v>220</v>
      </c>
    </row>
    <row r="42" spans="1:26" ht="19.5" customHeight="1" x14ac:dyDescent="0.3">
      <c r="A42" s="11" t="s">
        <v>152</v>
      </c>
      <c r="B42" s="16">
        <v>45301</v>
      </c>
      <c r="C42" s="19">
        <v>3</v>
      </c>
      <c r="D42" s="19">
        <v>9</v>
      </c>
      <c r="E42" s="19">
        <v>30</v>
      </c>
      <c r="F42" s="31">
        <f>EDATE(B42,C42)</f>
        <v>45392</v>
      </c>
      <c r="G42" s="31">
        <f>EDATE(B42,1)</f>
        <v>45332</v>
      </c>
      <c r="H42" s="32">
        <f>TIME(D42,E42,0)</f>
        <v>0.39583333333333331</v>
      </c>
    </row>
    <row r="43" spans="1:26" ht="19.5" customHeight="1" x14ac:dyDescent="0.3">
      <c r="A43" s="26" t="s">
        <v>153</v>
      </c>
      <c r="B43" s="29">
        <v>45336</v>
      </c>
      <c r="C43" s="28">
        <v>6</v>
      </c>
      <c r="D43" s="28">
        <v>10</v>
      </c>
      <c r="E43" s="28">
        <v>0</v>
      </c>
      <c r="F43" s="31">
        <f t="shared" ref="F43:F49" si="14">EDATE(B43,C43)</f>
        <v>45518</v>
      </c>
      <c r="G43" s="31">
        <f t="shared" ref="G43:G49" si="15">EDATE(B43,1)</f>
        <v>45365</v>
      </c>
      <c r="H43" s="32">
        <f t="shared" ref="H43:H49" si="16">TIME(D43,E43,0)</f>
        <v>0.41666666666666669</v>
      </c>
    </row>
    <row r="44" spans="1:26" ht="19.5" customHeight="1" x14ac:dyDescent="0.3">
      <c r="A44" s="11" t="s">
        <v>221</v>
      </c>
      <c r="B44" s="16">
        <v>45371</v>
      </c>
      <c r="C44" s="19">
        <v>1</v>
      </c>
      <c r="D44" s="19">
        <v>14</v>
      </c>
      <c r="E44" s="19">
        <v>15</v>
      </c>
      <c r="F44" s="31">
        <f t="shared" si="14"/>
        <v>45402</v>
      </c>
      <c r="G44" s="31">
        <f t="shared" si="15"/>
        <v>45402</v>
      </c>
      <c r="H44" s="32">
        <f t="shared" si="16"/>
        <v>0.59375</v>
      </c>
    </row>
    <row r="45" spans="1:26" ht="19.5" customHeight="1" x14ac:dyDescent="0.3">
      <c r="A45" s="26" t="s">
        <v>155</v>
      </c>
      <c r="B45" s="29">
        <v>45383</v>
      </c>
      <c r="C45" s="28">
        <v>12</v>
      </c>
      <c r="D45" s="28">
        <v>11</v>
      </c>
      <c r="E45" s="28">
        <v>30</v>
      </c>
      <c r="F45" s="31">
        <f t="shared" si="14"/>
        <v>45748</v>
      </c>
      <c r="G45" s="31">
        <f t="shared" si="15"/>
        <v>45413</v>
      </c>
      <c r="H45" s="32">
        <f t="shared" si="16"/>
        <v>0.47916666666666669</v>
      </c>
    </row>
    <row r="46" spans="1:26" ht="19.5" customHeight="1" x14ac:dyDescent="0.3">
      <c r="A46" s="11" t="s">
        <v>156</v>
      </c>
      <c r="B46" s="16">
        <v>45422</v>
      </c>
      <c r="C46" s="19">
        <v>6</v>
      </c>
      <c r="D46" s="19">
        <v>16</v>
      </c>
      <c r="E46" s="19">
        <v>0</v>
      </c>
      <c r="F46" s="31">
        <f t="shared" si="14"/>
        <v>45606</v>
      </c>
      <c r="G46" s="31">
        <f t="shared" si="15"/>
        <v>45453</v>
      </c>
      <c r="H46" s="32">
        <f t="shared" si="16"/>
        <v>0.66666666666666663</v>
      </c>
    </row>
    <row r="47" spans="1:26" ht="19.5" customHeight="1" x14ac:dyDescent="0.3">
      <c r="A47" s="26" t="s">
        <v>157</v>
      </c>
      <c r="B47" s="29">
        <v>45468</v>
      </c>
      <c r="C47" s="28">
        <v>3</v>
      </c>
      <c r="D47" s="28">
        <v>8</v>
      </c>
      <c r="E47" s="28">
        <v>45</v>
      </c>
      <c r="F47" s="31">
        <f t="shared" si="14"/>
        <v>45560</v>
      </c>
      <c r="G47" s="31">
        <f t="shared" si="15"/>
        <v>45498</v>
      </c>
      <c r="H47" s="32">
        <f t="shared" si="16"/>
        <v>0.36458333333333331</v>
      </c>
    </row>
    <row r="48" spans="1:26" ht="19.5" customHeight="1" x14ac:dyDescent="0.3">
      <c r="A48" s="11" t="s">
        <v>222</v>
      </c>
      <c r="B48" s="16">
        <v>45478</v>
      </c>
      <c r="C48" s="19">
        <v>6</v>
      </c>
      <c r="D48" s="19">
        <v>9</v>
      </c>
      <c r="E48" s="19">
        <v>0</v>
      </c>
      <c r="F48" s="31">
        <f t="shared" si="14"/>
        <v>45662</v>
      </c>
      <c r="G48" s="31">
        <f t="shared" si="15"/>
        <v>45509</v>
      </c>
      <c r="H48" s="32">
        <f t="shared" si="16"/>
        <v>0.375</v>
      </c>
    </row>
    <row r="49" spans="1:8" ht="19.5" customHeight="1" x14ac:dyDescent="0.3">
      <c r="A49" s="26" t="s">
        <v>223</v>
      </c>
      <c r="B49" s="29">
        <v>45524</v>
      </c>
      <c r="C49" s="28">
        <v>12</v>
      </c>
      <c r="D49" s="28">
        <v>15</v>
      </c>
      <c r="E49" s="28">
        <v>30</v>
      </c>
      <c r="F49" s="31">
        <f t="shared" si="14"/>
        <v>45889</v>
      </c>
      <c r="G49" s="31">
        <f t="shared" si="15"/>
        <v>45555</v>
      </c>
      <c r="H49" s="32">
        <f t="shared" si="16"/>
        <v>0.64583333333333337</v>
      </c>
    </row>
    <row r="50" spans="1:8" ht="14.25" customHeight="1" x14ac:dyDescent="0.3"/>
    <row r="51" spans="1:8" ht="14.25" customHeight="1" x14ac:dyDescent="0.3"/>
    <row r="52" spans="1:8" ht="14.25" customHeight="1" x14ac:dyDescent="0.3"/>
    <row r="53" spans="1:8" ht="14.25" customHeight="1" x14ac:dyDescent="0.3"/>
    <row r="54" spans="1:8" ht="14.25" customHeight="1" x14ac:dyDescent="0.3"/>
    <row r="55" spans="1:8" ht="14.25" customHeight="1" x14ac:dyDescent="0.3"/>
    <row r="56" spans="1:8" ht="14.25" customHeight="1" x14ac:dyDescent="0.3"/>
    <row r="57" spans="1:8" ht="14.25" customHeight="1" x14ac:dyDescent="0.3"/>
    <row r="58" spans="1:8" ht="14.25" customHeight="1" x14ac:dyDescent="0.3"/>
    <row r="59" spans="1:8" ht="14.25" customHeight="1" x14ac:dyDescent="0.3"/>
    <row r="60" spans="1:8" ht="14.25" customHeight="1" x14ac:dyDescent="0.3"/>
    <row r="61" spans="1:8" ht="14.25" customHeight="1" x14ac:dyDescent="0.3"/>
    <row r="62" spans="1:8" ht="14.25" customHeight="1" x14ac:dyDescent="0.3"/>
    <row r="63" spans="1:8" ht="14.25" customHeight="1" x14ac:dyDescent="0.3"/>
    <row r="64" spans="1:8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0">
    <mergeCell ref="A28:I28"/>
    <mergeCell ref="A39:I39"/>
    <mergeCell ref="A40:I40"/>
    <mergeCell ref="A1:I1"/>
    <mergeCell ref="A2:I2"/>
    <mergeCell ref="A3:I3"/>
    <mergeCell ref="A4:I4"/>
    <mergeCell ref="A15:I15"/>
    <mergeCell ref="A16:I16"/>
    <mergeCell ref="A27:I27"/>
  </mergeCells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Notes - Date &amp; Time Functions</vt:lpstr>
      <vt:lpstr>Examples - Date &amp; Time Fns</vt:lpstr>
      <vt:lpstr>Tasks - Date &amp; Time Fns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ayshanasninasni@gmail.com</cp:lastModifiedBy>
  <dcterms:created xsi:type="dcterms:W3CDTF">2026-07-03T08:42:37Z</dcterms:created>
  <dcterms:modified xsi:type="dcterms:W3CDTF">2026-08-19T10:41:54Z</dcterms:modified>
</cp:coreProperties>
</file>
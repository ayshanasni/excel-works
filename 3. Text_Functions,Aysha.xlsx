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423cf5ec3f6159c/Documents/"/>
    </mc:Choice>
  </mc:AlternateContent>
  <xr:revisionPtr revIDLastSave="0" documentId="8_{114E7F0B-D359-4A3A-9038-E7268E388DC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Notes - Text Functions" sheetId="1" r:id="rId1"/>
    <sheet name="Examples - Text Functions" sheetId="2" r:id="rId2"/>
    <sheet name="Tasks - Text Functions" sheetId="3" r:id="rId3"/>
    <sheet name="Sheet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qV60cesJ9nxPIAvI88s+5W0IBGqeg+nNZlNMvdFT0is="/>
    </ext>
  </extLst>
</workbook>
</file>

<file path=xl/calcChain.xml><?xml version="1.0" encoding="utf-8"?>
<calcChain xmlns="http://schemas.openxmlformats.org/spreadsheetml/2006/main">
  <c r="Q2" i="4" l="1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P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O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N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M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I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12" i="3"/>
  <c r="H11" i="3"/>
  <c r="H10" i="3"/>
  <c r="H9" i="3"/>
  <c r="H8" i="3"/>
  <c r="H7" i="3"/>
  <c r="H6" i="3"/>
  <c r="H5" i="3"/>
  <c r="H4" i="3"/>
  <c r="H3" i="3"/>
  <c r="H10" i="2"/>
  <c r="H9" i="2"/>
  <c r="H8" i="2"/>
  <c r="H7" i="2"/>
  <c r="H6" i="2"/>
  <c r="H5" i="2"/>
  <c r="H4" i="2"/>
  <c r="H3" i="2"/>
  <c r="J19" i="4" l="1"/>
  <c r="J7" i="4"/>
  <c r="J15" i="4"/>
  <c r="J3" i="4"/>
  <c r="J14" i="4"/>
  <c r="J17" i="4"/>
  <c r="J5" i="4"/>
  <c r="J16" i="4"/>
  <c r="J4" i="4"/>
  <c r="J18" i="4"/>
  <c r="J6" i="4"/>
  <c r="J12" i="4"/>
  <c r="J11" i="4"/>
  <c r="J10" i="4"/>
  <c r="J21" i="4"/>
  <c r="J9" i="4"/>
  <c r="J13" i="4"/>
  <c r="J20" i="4"/>
  <c r="J8" i="4"/>
  <c r="J2" i="4"/>
</calcChain>
</file>

<file path=xl/sharedStrings.xml><?xml version="1.0" encoding="utf-8"?>
<sst xmlns="http://schemas.openxmlformats.org/spreadsheetml/2006/main" count="315" uniqueCount="292">
  <si>
    <t>TEXT FUNCTIONS — NOTES</t>
  </si>
  <si>
    <t>Functions covered:  LEFT | RIGHT | MID | UPPER | LOWER | PROPER | TRIM | CONCAT</t>
  </si>
  <si>
    <t>Function</t>
  </si>
  <si>
    <t>What It Does</t>
  </si>
  <si>
    <t>Syntax</t>
  </si>
  <si>
    <t>Key Point</t>
  </si>
  <si>
    <t>Example Use</t>
  </si>
  <si>
    <t>LEFT</t>
  </si>
  <si>
    <t>Extracts characters from the START (left side) of a text.</t>
  </si>
  <si>
    <t>=LEFT(text, num_chars)</t>
  </si>
  <si>
    <t>num_chars = how many characters to take from the left.</t>
  </si>
  <si>
    <t>Extract area code from a phone number</t>
  </si>
  <si>
    <t>RIGHT</t>
  </si>
  <si>
    <t>Extracts characters from the END (right side) of a text.</t>
  </si>
  <si>
    <t>=RIGHT(text, num_chars)</t>
  </si>
  <si>
    <t>num_chars = how many characters to take from the right.</t>
  </si>
  <si>
    <t>Extract last 4 digits of a card number</t>
  </si>
  <si>
    <t>MID</t>
  </si>
  <si>
    <t>Extracts characters from the MIDDLE of a text.</t>
  </si>
  <si>
    <t>=MID(text, start_num, num_chars)</t>
  </si>
  <si>
    <t>start_num = position to begin from.
Counting starts at 1, not 0.</t>
  </si>
  <si>
    <t>Extract month from a date written as text</t>
  </si>
  <si>
    <t>UPPER</t>
  </si>
  <si>
    <t>Converts all letters in text to UPPERCASE.</t>
  </si>
  <si>
    <t>=UPPER(text)</t>
  </si>
  <si>
    <t>Numbers and symbols are not affected.</t>
  </si>
  <si>
    <t>Convert product codes to uppercase</t>
  </si>
  <si>
    <t>LOWER</t>
  </si>
  <si>
    <t>Converts all letters in text to lowercase.</t>
  </si>
  <si>
    <t>=LOWER(text)</t>
  </si>
  <si>
    <t>Standardize email addresses to lowercase</t>
  </si>
  <si>
    <t>PROPER</t>
  </si>
  <si>
    <t>Capitalizes the first letter of each word.</t>
  </si>
  <si>
    <t>=PROPER(text)</t>
  </si>
  <si>
    <t>Useful for fixing names typed in all caps or all lowercase.</t>
  </si>
  <si>
    <t>Format customer names properly</t>
  </si>
  <si>
    <t>TRIM</t>
  </si>
  <si>
    <t>Removes extra spaces from text, keeping single spaces between words.</t>
  </si>
  <si>
    <t>=TRIM(text)</t>
  </si>
  <si>
    <t>Removes leading, trailing, and extra inner spaces.
Does NOT remove single spaces between words.</t>
  </si>
  <si>
    <t>Clean messy data copied from other sources</t>
  </si>
  <si>
    <t>CONCATENATE</t>
  </si>
  <si>
    <t>Joins two or more text values into one.</t>
  </si>
  <si>
    <t>=CONCATENATE(text1, text2, ...)</t>
  </si>
  <si>
    <t>Use " " (space) or "-" as a separate argument to add spacing.
CONCAT is the newer version with the same purpose.</t>
  </si>
  <si>
    <t>Combine First Name and Last Name into Full Name</t>
  </si>
  <si>
    <t>Remember: Counting positions in MID always starts at 1, not 0 — the very first character is position 1</t>
  </si>
  <si>
    <t xml:space="preserve">TEXT FUNCTIONS — EXAMPLES   </t>
  </si>
  <si>
    <t>Formulas applied on the data above (data is in rows 4 to 8)</t>
  </si>
  <si>
    <t>Scenario: Employee records exported from an HR system (messy formatting)</t>
  </si>
  <si>
    <t xml:space="preserve">Formula </t>
  </si>
  <si>
    <t>Result</t>
  </si>
  <si>
    <t>What it does</t>
  </si>
  <si>
    <t>Emp Code</t>
  </si>
  <si>
    <t>Full Name (raw)</t>
  </si>
  <si>
    <t>Email (raw)</t>
  </si>
  <si>
    <t>Department</t>
  </si>
  <si>
    <t>=LEFT(A4,3)</t>
  </si>
  <si>
    <t>Extracts 'EMP' from the employee code</t>
  </si>
  <si>
    <t>EMP-2024-101</t>
  </si>
  <si>
    <t xml:space="preserve">  rohan sharma  </t>
  </si>
  <si>
    <t>ROHAN.SHARMA@MAIL.COM</t>
  </si>
  <si>
    <t>Sales</t>
  </si>
  <si>
    <t>=RIGHT(A4,3)</t>
  </si>
  <si>
    <t>Extracts the last 3 digits of the employee code</t>
  </si>
  <si>
    <t>EMP-2024-102</t>
  </si>
  <si>
    <t>PRIYA   VERMA</t>
  </si>
  <si>
    <t>priya.verma@mail.com</t>
  </si>
  <si>
    <t>HR</t>
  </si>
  <si>
    <t>=MID(A4,5,4)</t>
  </si>
  <si>
    <t>Extracts the year (2024) from the employee code</t>
  </si>
  <si>
    <t>EMP-2024-103</t>
  </si>
  <si>
    <t>amit Kumar</t>
  </si>
  <si>
    <t>Amit.Kumar@Mail.Com</t>
  </si>
  <si>
    <t>IT</t>
  </si>
  <si>
    <t>=UPPER(D4)</t>
  </si>
  <si>
    <t>Converts the department name to UPPERCASE</t>
  </si>
  <si>
    <t>EMP-2024-104</t>
  </si>
  <si>
    <t xml:space="preserve">  Sneha Joshi</t>
  </si>
  <si>
    <t>SNEHA.JOSHI@MAIL.COM</t>
  </si>
  <si>
    <t>Finance</t>
  </si>
  <si>
    <t>=LOWER(C4)</t>
  </si>
  <si>
    <t>Converts the email to lowercase (standard format)</t>
  </si>
  <si>
    <t>EMP-2024-105</t>
  </si>
  <si>
    <t>vikram  reddy</t>
  </si>
  <si>
    <t>vikram.reddy@mail.com</t>
  </si>
  <si>
    <t>=PROPER(TRIM(B4))</t>
  </si>
  <si>
    <t>Fixes the messy name into proper case</t>
  </si>
  <si>
    <t>=TRIM(B4)</t>
  </si>
  <si>
    <t>Removes extra spaces from the raw name</t>
  </si>
  <si>
    <t>=CONCATENATE(LEFT(A4,3)," - ",D4)</t>
  </si>
  <si>
    <t>Joins code prefix and department together</t>
  </si>
  <si>
    <t>Column 2 = formula text to read  |  Column 3 = live calculated result  |  Try changing the names/codes above to see results update</t>
  </si>
  <si>
    <t>TEXT FUNCTIONS — STUDENT TASKS</t>
  </si>
  <si>
    <t>Write your formulas in the yellow cells below</t>
  </si>
  <si>
    <t>Scenario: Customer records from an online bookstore (raw export, needs cleaning)</t>
  </si>
  <si>
    <t>Task</t>
  </si>
  <si>
    <t>What to Find</t>
  </si>
  <si>
    <t>Answer</t>
  </si>
  <si>
    <t>Order ID</t>
  </si>
  <si>
    <t>Customer Name (raw)</t>
  </si>
  <si>
    <t>City</t>
  </si>
  <si>
    <t>Task 1</t>
  </si>
  <si>
    <t>Extract "BK" (first 2 characters) from the Order ID of row 1</t>
  </si>
  <si>
    <t>BK-2024-501</t>
  </si>
  <si>
    <t xml:space="preserve">  ananya singh  </t>
  </si>
  <si>
    <t>ANANYA.SINGH@SHOP.COM</t>
  </si>
  <si>
    <t>Pune</t>
  </si>
  <si>
    <t>Task 2</t>
  </si>
  <si>
    <t>Extract the year from the Order ID of row 1</t>
  </si>
  <si>
    <t>BK-2024-502</t>
  </si>
  <si>
    <t>RAVI   TEJA</t>
  </si>
  <si>
    <t>ravi.teja@shop.com</t>
  </si>
  <si>
    <t>Hyderabad</t>
  </si>
  <si>
    <t>Task 3</t>
  </si>
  <si>
    <t>Extract the order number from the Order ID of row 2</t>
  </si>
  <si>
    <t>BK-2024-503</t>
  </si>
  <si>
    <t>meera nair</t>
  </si>
  <si>
    <t>Meera.Nair@Shop.Com</t>
  </si>
  <si>
    <t>Kochi</t>
  </si>
  <si>
    <t>Task 4</t>
  </si>
  <si>
    <t>Convert the City of row 3 to UPPERCASE</t>
  </si>
  <si>
    <t>BK-2024-504</t>
  </si>
  <si>
    <t xml:space="preserve">  Kabir Khan</t>
  </si>
  <si>
    <t>KABIR.KHAN@SHOP.COM</t>
  </si>
  <si>
    <t>Lucknow</t>
  </si>
  <si>
    <t>Task 5</t>
  </si>
  <si>
    <t>Convert the Email of row 1 to lowercase</t>
  </si>
  <si>
    <t>BK-2024-505</t>
  </si>
  <si>
    <t>Tanya  Malhotra</t>
  </si>
  <si>
    <t>tanya.malhotra@shop.com</t>
  </si>
  <si>
    <t>Chandigarh</t>
  </si>
  <si>
    <t>Task 6</t>
  </si>
  <si>
    <t>Fix the Customer Name of row 4 into Proper Case</t>
  </si>
  <si>
    <t>BK-2024-506</t>
  </si>
  <si>
    <t>deepak  rao</t>
  </si>
  <si>
    <t>DEEPAK.RAO@SHOP.COM</t>
  </si>
  <si>
    <t>Task 7</t>
  </si>
  <si>
    <t>Remove the extra spaces from the Customer Name of row 5</t>
  </si>
  <si>
    <t>Task 8</t>
  </si>
  <si>
    <t>Join the City and Order ID of row 6 with a space in between</t>
  </si>
  <si>
    <t>Task 9</t>
  </si>
  <si>
    <t>Clean and Proper-case the Customer Name of row 6 in one formula</t>
  </si>
  <si>
    <t>Task 10</t>
  </si>
  <si>
    <t>Extract the middle 4 digits (the year) from the Order ID of row 4</t>
  </si>
  <si>
    <t>Customer ID</t>
  </si>
  <si>
    <t>First Name</t>
  </si>
  <si>
    <t>Last Name</t>
  </si>
  <si>
    <t>Email Address</t>
  </si>
  <si>
    <t>State</t>
  </si>
  <si>
    <t>Product Code</t>
  </si>
  <si>
    <t>C1001</t>
  </si>
  <si>
    <t>john</t>
  </si>
  <si>
    <t>smith</t>
  </si>
  <si>
    <t>JOHN.smith@gmail.com</t>
  </si>
  <si>
    <t>kochi</t>
  </si>
  <si>
    <t>kerala</t>
  </si>
  <si>
    <t>LAP-101-001</t>
  </si>
  <si>
    <t>C1002</t>
  </si>
  <si>
    <t>EMMA</t>
  </si>
  <si>
    <t>WILSON</t>
  </si>
  <si>
    <t>EMMAWILSON@yahoo.com</t>
  </si>
  <si>
    <t>chennai</t>
  </si>
  <si>
    <t>MOB-205-002</t>
  </si>
  <si>
    <t>C1003</t>
  </si>
  <si>
    <t>Arjun</t>
  </si>
  <si>
    <t>Nair</t>
  </si>
  <si>
    <t>arjun.nair@outlook.com</t>
  </si>
  <si>
    <t>bengaluru</t>
  </si>
  <si>
    <t>karnataka</t>
  </si>
  <si>
    <t>ACC-110-003</t>
  </si>
  <si>
    <t>priya</t>
  </si>
  <si>
    <t>menon</t>
  </si>
  <si>
    <t>priya.menon@gmail.COM</t>
  </si>
  <si>
    <t>trivandrum</t>
  </si>
  <si>
    <t>TAB-115-004</t>
  </si>
  <si>
    <t>RAHUL</t>
  </si>
  <si>
    <t xml:space="preserve">  SHARMA</t>
  </si>
  <si>
    <t>rahul.sharma@gmail.com</t>
  </si>
  <si>
    <t>mumbai</t>
  </si>
  <si>
    <t>maharashtra</t>
  </si>
  <si>
    <t>CAM-450-005</t>
  </si>
  <si>
    <t>Sneha</t>
  </si>
  <si>
    <t>Joseph</t>
  </si>
  <si>
    <t>snehaj@gmail.com</t>
  </si>
  <si>
    <t>hyderabad</t>
  </si>
  <si>
    <t>telangana</t>
  </si>
  <si>
    <t>SPK-220-006</t>
  </si>
  <si>
    <t>david</t>
  </si>
  <si>
    <t>brown</t>
  </si>
  <si>
    <t>david.brown@hotmail.com</t>
  </si>
  <si>
    <t>pune</t>
  </si>
  <si>
    <t>KEY-301-007</t>
  </si>
  <si>
    <t>ANJALI</t>
  </si>
  <si>
    <t>DAS</t>
  </si>
  <si>
    <t>anjali.das@yahoo.com</t>
  </si>
  <si>
    <t>kolkata</t>
  </si>
  <si>
    <t>west bengal</t>
  </si>
  <si>
    <t>MON-240-008</t>
  </si>
  <si>
    <t>Mohammed</t>
  </si>
  <si>
    <t>Ali</t>
  </si>
  <si>
    <t>mohd.ali@gmail.com</t>
  </si>
  <si>
    <t>delhi</t>
  </si>
  <si>
    <t>HDD-500-009</t>
  </si>
  <si>
    <t>neha</t>
  </si>
  <si>
    <t>patel</t>
  </si>
  <si>
    <t>neha_patel@outlook.com</t>
  </si>
  <si>
    <t>ahmedabad</t>
  </si>
  <si>
    <t>gujarat</t>
  </si>
  <si>
    <t>SSD-512-010</t>
  </si>
  <si>
    <t>ROHAN</t>
  </si>
  <si>
    <t xml:space="preserve">       KUMAR</t>
  </si>
  <si>
    <t>rohankumar@gmail.com</t>
  </si>
  <si>
    <t>lucknow</t>
  </si>
  <si>
    <t>uttar pradesh</t>
  </si>
  <si>
    <t>MOU-201-011</t>
  </si>
  <si>
    <t>Fatima</t>
  </si>
  <si>
    <t>Khan</t>
  </si>
  <si>
    <t>fatima.khan@yahoo.com</t>
  </si>
  <si>
    <t>jaipur</t>
  </si>
  <si>
    <t>rajasthan</t>
  </si>
  <si>
    <t>CHG-065-012</t>
  </si>
  <si>
    <t>vivek</t>
  </si>
  <si>
    <t>r</t>
  </si>
  <si>
    <t>vivek.r@gmail.com</t>
  </si>
  <si>
    <t>mysuru</t>
  </si>
  <si>
    <t>CAB-108-013</t>
  </si>
  <si>
    <t>ANTHONY</t>
  </si>
  <si>
    <t>THOMAS</t>
  </si>
  <si>
    <t>anthony.t@gmail.com</t>
  </si>
  <si>
    <t>kozhikode</t>
  </si>
  <si>
    <t>BAG-501-014</t>
  </si>
  <si>
    <t>Meera</t>
  </si>
  <si>
    <t>Iyer</t>
  </si>
  <si>
    <t>meera.iyer@outlook.com</t>
  </si>
  <si>
    <t>coimbatore</t>
  </si>
  <si>
    <t>EAR-209-015</t>
  </si>
  <si>
    <t>sanjay</t>
  </si>
  <si>
    <t>gupta</t>
  </si>
  <si>
    <t>sanjay.gupta@gmail.com</t>
  </si>
  <si>
    <t>surat</t>
  </si>
  <si>
    <t>MIC-310-016</t>
  </si>
  <si>
    <t>POOJA</t>
  </si>
  <si>
    <t>SINGH</t>
  </si>
  <si>
    <t>pooja.singh@yahoo.com</t>
  </si>
  <si>
    <t>bhopal</t>
  </si>
  <si>
    <t>madhya pradesh</t>
  </si>
  <si>
    <t>HUB-404-017</t>
  </si>
  <si>
    <t>Kevin</t>
  </si>
  <si>
    <t>George</t>
  </si>
  <si>
    <t>kevin.george@gmail.com</t>
  </si>
  <si>
    <t>goa</t>
  </si>
  <si>
    <t>WBC-108-018</t>
  </si>
  <si>
    <t>lakshmi</t>
  </si>
  <si>
    <t>p</t>
  </si>
  <si>
    <t>LAKSHMI@GMAIL.COM</t>
  </si>
  <si>
    <t>madurai</t>
  </si>
  <si>
    <t>CPU-701-019</t>
  </si>
  <si>
    <t>NIKHIL</t>
  </si>
  <si>
    <t>VERMA</t>
  </si>
  <si>
    <t>nikhil.verma@hotmail.com</t>
  </si>
  <si>
    <t>patna</t>
  </si>
  <si>
    <t>bihar</t>
  </si>
  <si>
    <t>RAM-016-020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</si>
  <si>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</si>
  <si>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</si>
  <si>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</si>
  <si>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</si>
  <si>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</si>
  <si>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</si>
  <si>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</si>
  <si>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</si>
  <si>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C1012</t>
  </si>
  <si>
    <t>C1013</t>
  </si>
  <si>
    <t>C1014</t>
  </si>
  <si>
    <t>C1015</t>
  </si>
  <si>
    <t>C1016</t>
  </si>
  <si>
    <t>C1017</t>
  </si>
  <si>
    <t>C1018</t>
  </si>
  <si>
    <t>C1019</t>
  </si>
  <si>
    <t>C1020</t>
  </si>
  <si>
    <t>Name correction</t>
  </si>
  <si>
    <t>name correction 2</t>
  </si>
  <si>
    <t>joining</t>
  </si>
  <si>
    <t>email correction</t>
  </si>
  <si>
    <t>city correction</t>
  </si>
  <si>
    <t>state correction</t>
  </si>
  <si>
    <t>product excract</t>
  </si>
  <si>
    <t>order id</t>
  </si>
  <si>
    <t>Model number</t>
  </si>
  <si>
    <t>number of characters in name</t>
  </si>
  <si>
    <t>Tamilnadu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</si>
</sst>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scheme val="minor"/>
    </font>
    <font>
      <b/>
      <sz val="13"/>
      <color rgb="FFFFFFFF"/>
      <name val="Arial"/>
      <family val="2"/>
    </font>
    <font>
      <sz val="11"/>
      <name val="Calibri"/>
      <family val="2"/>
    </font>
    <font>
      <b/>
      <sz val="10"/>
      <color rgb="FF1F3864"/>
      <name val="Arial"/>
      <family val="2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1F497D"/>
      <name val="Courier New"/>
      <family val="3"/>
    </font>
    <font>
      <i/>
      <sz val="9"/>
      <color rgb="FF000000"/>
      <name val="Arial"/>
      <family val="2"/>
    </font>
    <font>
      <b/>
      <sz val="10"/>
      <color rgb="FF7B0000"/>
      <name val="Arial"/>
      <family val="2"/>
    </font>
    <font>
      <b/>
      <sz val="10"/>
      <color rgb="FF375623"/>
      <name val="Arial"/>
      <family val="2"/>
    </font>
    <font>
      <sz val="11"/>
      <color theme="1"/>
      <name val="Calibri"/>
      <family val="2"/>
    </font>
    <font>
      <b/>
      <sz val="10"/>
      <color rgb="FF000000"/>
      <name val="Arial"/>
      <family val="2"/>
    </font>
    <font>
      <b/>
      <sz val="11"/>
      <color theme="1"/>
      <name val="Calibri"/>
      <family val="2"/>
    </font>
    <font>
      <u/>
      <sz val="11"/>
      <color rgb="FF0000FF"/>
      <name val="Calibri"/>
      <family val="2"/>
    </font>
    <font>
      <u/>
      <sz val="11"/>
      <color theme="10"/>
      <name val="Calibri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CE4D6"/>
        <bgColor rgb="FFFCE4D6"/>
      </patternFill>
    </fill>
  </fills>
  <borders count="14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3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left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left" vertical="center" wrapText="1"/>
    </xf>
    <xf numFmtId="0" fontId="7" fillId="6" borderId="4" xfId="0" applyFont="1" applyFill="1" applyBorder="1" applyAlignment="1">
      <alignment horizontal="left" vertical="center" wrapText="1"/>
    </xf>
    <xf numFmtId="0" fontId="3" fillId="7" borderId="6" xfId="0" applyFont="1" applyFill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3" borderId="4" xfId="0" applyFont="1" applyFill="1" applyBorder="1" applyAlignment="1">
      <alignment vertical="center" wrapText="1"/>
    </xf>
    <xf numFmtId="0" fontId="3" fillId="7" borderId="4" xfId="0" applyFont="1" applyFill="1" applyBorder="1" applyAlignment="1">
      <alignment vertical="center" wrapText="1"/>
    </xf>
    <xf numFmtId="0" fontId="6" fillId="5" borderId="4" xfId="0" applyFont="1" applyFill="1" applyBorder="1" applyAlignment="1">
      <alignment horizontal="left" vertical="center" wrapText="1"/>
    </xf>
    <xf numFmtId="0" fontId="9" fillId="4" borderId="4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10" fillId="0" borderId="0" xfId="0" applyFont="1"/>
    <xf numFmtId="0" fontId="11" fillId="6" borderId="4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left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3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2" fillId="0" borderId="5" xfId="0" applyFont="1" applyBorder="1"/>
    <xf numFmtId="0" fontId="10" fillId="0" borderId="0" xfId="0" applyNumberFormat="1" applyFont="1" applyAlignment="1">
      <alignment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6" borderId="12" xfId="0" applyFont="1" applyFill="1" applyBorder="1" applyAlignment="1">
      <alignment horizontal="left" vertical="center" wrapText="1"/>
    </xf>
    <xf numFmtId="0" fontId="5" fillId="6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F3864"/>
        <name val="Arial"/>
        <family val="2"/>
        <scheme val="none"/>
      </font>
      <fill>
        <patternFill patternType="solid">
          <fgColor rgb="FFD6E4F0"/>
          <bgColor rgb="FFD6E4F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A0599E-4B04-4749-BD41-D7984C4A6037}" name="Table2" displayName="Table2" ref="A3:D8" totalsRowShown="0" headerRowDxfId="1" headerRowBorderDxfId="7" tableBorderDxfId="8" totalsRowBorderDxfId="6">
  <autoFilter ref="A3:D8" xr:uid="{B7A0599E-4B04-4749-BD41-D7984C4A6037}"/>
  <tableColumns count="4">
    <tableColumn id="1" xr3:uid="{AA49F929-1BD8-4C79-96D4-1C8A64278398}" name="Emp Code" dataDxfId="5"/>
    <tableColumn id="2" xr3:uid="{98C35718-D289-4B7F-BB44-CA1079E2CF34}" name="Full Name (raw)" dataDxfId="4"/>
    <tableColumn id="3" xr3:uid="{BC48365C-0DAE-463F-A0FA-4F957668B933}" name="Email (raw)" dataDxfId="3"/>
    <tableColumn id="4" xr3:uid="{C0404BB0-C6AA-4AEB-AA66-78F84119CC09}" name="Department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6FE88D-1987-4B73-A26A-CD9AF9B8B4F1}" name="Table1" displayName="Table1" ref="A1:Q21" totalsRowShown="0" headerRowDxfId="18" dataDxfId="19">
  <autoFilter ref="A1:Q21" xr:uid="{056FE88D-1987-4B73-A26A-CD9AF9B8B4F1}"/>
  <tableColumns count="17">
    <tableColumn id="1" xr3:uid="{3D6ED3F1-DC0E-4017-834A-BFDB7DE16F97}" name="Customer ID" dataDxfId="26"/>
    <tableColumn id="2" xr3:uid="{49561451-ADE8-4D4E-A8C4-6783CA922FBE}" name="First Name" dataDxfId="25"/>
    <tableColumn id="3" xr3:uid="{EBC219B4-B805-4ED6-9A8A-D32FA04E8846}" name="Last Name" dataDxfId="24"/>
    <tableColumn id="4" xr3:uid="{A61E3266-6712-4360-82BF-A7F2079E4813}" name="Email Address" dataDxfId="23"/>
    <tableColumn id="5" xr3:uid="{B551E4FB-248F-4A5D-B964-0E6969614E58}" name="City" dataDxfId="22"/>
    <tableColumn id="6" xr3:uid="{9A61A716-C102-4793-95AD-79A1F9711711}" name="State" dataDxfId="21"/>
    <tableColumn id="7" xr3:uid="{10AB9C4A-879B-42FC-9719-8DE13C9CA159}" name="Product Code" dataDxfId="20"/>
    <tableColumn id="8" xr3:uid="{6A45BF9C-F345-49B7-91FE-43289D5E0AD1}" name="Name correction" dataDxfId="17">
      <calculatedColumnFormula>PROPER(Table1[[#This Row],[First Name]])</calculatedColumnFormula>
    </tableColumn>
    <tableColumn id="9" xr3:uid="{1D3357D0-E6EB-4742-BCDD-703C0028A91A}" name="name correction 2" dataDxfId="15">
      <calculatedColumnFormula>PROPER(TRIM(Table1[[#This Row],[Last Name]]))</calculatedColumnFormula>
    </tableColumn>
    <tableColumn id="10" xr3:uid="{8846D6A1-3587-4811-9A99-B32A9457B361}" name="joining" dataDxfId="16">
      <calculatedColumnFormula>_xlfn.CONCAT(Table1[[#This Row],[Name correction]]," ",Table1[[#This Row],[name correction 2]])</calculatedColumnFormula>
    </tableColumn>
    <tableColumn id="11" xr3:uid="{1BD8472B-007C-44BB-A273-09724A0A063B}" name="email correction" dataDxfId="14">
      <calculatedColumnFormula>LOWER(Table1[[#This Row],[Email Address]])</calculatedColumnFormula>
    </tableColumn>
    <tableColumn id="12" xr3:uid="{45D47852-5743-4AEF-B8AB-2414989063C3}" name="city correction" dataDxfId="13">
      <calculatedColumnFormula>PROPER(Table1[[#This Row],[City]])</calculatedColumnFormula>
    </tableColumn>
    <tableColumn id="13" xr3:uid="{76E7C08F-889B-41C1-A133-B5E131C04BDD}" name="state correction" dataDxfId="12">
      <calculatedColumnFormula>UPPER(Table1[[#This Row],[State]])</calculatedColumnFormula>
    </tableColumn>
    <tableColumn id="14" xr3:uid="{132C2F07-6B75-49CA-9954-B6C3B7B1183E}" name="product excract" dataDxfId="11">
      <calculatedColumnFormula>LEFT(Table1[[#This Row],[Product Code]],3)</calculatedColumnFormula>
    </tableColumn>
    <tableColumn id="15" xr3:uid="{0659E0DC-9DAB-4BFE-A2CD-2BE225255741}" name="order id" dataDxfId="10">
      <calculatedColumnFormula>RIGHT(Table1[[#This Row],[Product Code]],3)</calculatedColumnFormula>
    </tableColumn>
    <tableColumn id="16" xr3:uid="{3A32CC91-8255-48B2-91D5-711C018831A1}" name="Model number" dataDxfId="9">
      <calculatedColumnFormula>MID(Table1[[#This Row],[Product Code]],5,3)</calculatedColumnFormula>
    </tableColumn>
    <tableColumn id="17" xr3:uid="{2B99F17D-FB86-48B1-A7C5-02DAD72ABB92}" name="number of characters in name" dataDxfId="0">
      <calculatedColumnFormula>LEN(Table1[[#This Row],[joining]])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anjali.das@yahoo.com" TargetMode="External"/><Relationship Id="rId13" Type="http://schemas.openxmlformats.org/officeDocument/2006/relationships/hyperlink" Target="mailto:vivek.r@gmail.com" TargetMode="External"/><Relationship Id="rId18" Type="http://schemas.openxmlformats.org/officeDocument/2006/relationships/hyperlink" Target="mailto:kevin.george@gmail.com" TargetMode="External"/><Relationship Id="rId3" Type="http://schemas.openxmlformats.org/officeDocument/2006/relationships/hyperlink" Target="mailto:arjun.nair@outlook.com" TargetMode="External"/><Relationship Id="rId21" Type="http://schemas.openxmlformats.org/officeDocument/2006/relationships/table" Target="../tables/table2.xml"/><Relationship Id="rId7" Type="http://schemas.openxmlformats.org/officeDocument/2006/relationships/hyperlink" Target="mailto:david.brown@hotmail.com" TargetMode="External"/><Relationship Id="rId12" Type="http://schemas.openxmlformats.org/officeDocument/2006/relationships/hyperlink" Target="mailto:fatima.khan@yahoo.com" TargetMode="External"/><Relationship Id="rId17" Type="http://schemas.openxmlformats.org/officeDocument/2006/relationships/hyperlink" Target="mailto:pooja.singh@yahoo.com" TargetMode="External"/><Relationship Id="rId2" Type="http://schemas.openxmlformats.org/officeDocument/2006/relationships/hyperlink" Target="mailto:emmawilson@yahoo.com" TargetMode="External"/><Relationship Id="rId16" Type="http://schemas.openxmlformats.org/officeDocument/2006/relationships/hyperlink" Target="mailto:sanjay.gupta@gmail.com" TargetMode="External"/><Relationship Id="rId20" Type="http://schemas.openxmlformats.org/officeDocument/2006/relationships/hyperlink" Target="mailto:nikhil.verma@hotmail.com" TargetMode="External"/><Relationship Id="rId1" Type="http://schemas.openxmlformats.org/officeDocument/2006/relationships/hyperlink" Target="mailto:john.smith@gmail.com" TargetMode="External"/><Relationship Id="rId6" Type="http://schemas.openxmlformats.org/officeDocument/2006/relationships/hyperlink" Target="mailto:snehaj@gmail.com" TargetMode="External"/><Relationship Id="rId11" Type="http://schemas.openxmlformats.org/officeDocument/2006/relationships/hyperlink" Target="mailto:rohankumar@gmail.com" TargetMode="External"/><Relationship Id="rId5" Type="http://schemas.openxmlformats.org/officeDocument/2006/relationships/hyperlink" Target="mailto:rahul.sharma@gmail.com" TargetMode="External"/><Relationship Id="rId15" Type="http://schemas.openxmlformats.org/officeDocument/2006/relationships/hyperlink" Target="mailto:meera.iyer@outlook.com" TargetMode="External"/><Relationship Id="rId10" Type="http://schemas.openxmlformats.org/officeDocument/2006/relationships/hyperlink" Target="mailto:neha_patel@outlook.com" TargetMode="External"/><Relationship Id="rId19" Type="http://schemas.openxmlformats.org/officeDocument/2006/relationships/hyperlink" Target="mailto:lakshmi.p@gmail.com" TargetMode="External"/><Relationship Id="rId4" Type="http://schemas.openxmlformats.org/officeDocument/2006/relationships/hyperlink" Target="mailto:priya.menon@gmail.com" TargetMode="External"/><Relationship Id="rId9" Type="http://schemas.openxmlformats.org/officeDocument/2006/relationships/hyperlink" Target="mailto:mohd.ali@gmail.com" TargetMode="External"/><Relationship Id="rId14" Type="http://schemas.openxmlformats.org/officeDocument/2006/relationships/hyperlink" Target="mailto:anthony.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opLeftCell="A3" workbookViewId="0">
      <selection sqref="A1:E1"/>
    </sheetView>
  </sheetViews>
  <sheetFormatPr defaultColWidth="14.44140625" defaultRowHeight="15" customHeight="1" x14ac:dyDescent="0.3"/>
  <cols>
    <col min="1" max="1" width="13" customWidth="1"/>
    <col min="2" max="3" width="38" customWidth="1"/>
    <col min="4" max="4" width="40" customWidth="1"/>
    <col min="5" max="5" width="38" customWidth="1"/>
    <col min="6" max="26" width="8.5546875" customWidth="1"/>
  </cols>
  <sheetData>
    <row r="1" spans="1:5" ht="31.5" customHeight="1" x14ac:dyDescent="0.3">
      <c r="A1" s="28" t="s">
        <v>0</v>
      </c>
      <c r="B1" s="29"/>
      <c r="C1" s="29"/>
      <c r="D1" s="29"/>
      <c r="E1" s="30"/>
    </row>
    <row r="2" spans="1:5" ht="18" customHeight="1" x14ac:dyDescent="0.3">
      <c r="A2" s="31" t="s">
        <v>1</v>
      </c>
      <c r="B2" s="29"/>
      <c r="C2" s="29"/>
      <c r="D2" s="29"/>
      <c r="E2" s="30"/>
    </row>
    <row r="3" spans="1:5" ht="19.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ht="51.75" customHeight="1" x14ac:dyDescent="0.3">
      <c r="A4" s="2" t="s">
        <v>7</v>
      </c>
      <c r="B4" s="3" t="s">
        <v>8</v>
      </c>
      <c r="C4" s="4" t="s">
        <v>9</v>
      </c>
      <c r="D4" s="5" t="s">
        <v>10</v>
      </c>
      <c r="E4" s="3" t="s">
        <v>11</v>
      </c>
    </row>
    <row r="5" spans="1:5" ht="51.75" customHeight="1" x14ac:dyDescent="0.3">
      <c r="A5" s="6" t="s">
        <v>12</v>
      </c>
      <c r="B5" s="7" t="s">
        <v>13</v>
      </c>
      <c r="C5" s="4" t="s">
        <v>14</v>
      </c>
      <c r="D5" s="8" t="s">
        <v>15</v>
      </c>
      <c r="E5" s="7" t="s">
        <v>16</v>
      </c>
    </row>
    <row r="6" spans="1:5" ht="51.75" customHeight="1" x14ac:dyDescent="0.3">
      <c r="A6" s="2" t="s">
        <v>17</v>
      </c>
      <c r="B6" s="3" t="s">
        <v>18</v>
      </c>
      <c r="C6" s="4" t="s">
        <v>19</v>
      </c>
      <c r="D6" s="5" t="s">
        <v>20</v>
      </c>
      <c r="E6" s="3" t="s">
        <v>21</v>
      </c>
    </row>
    <row r="7" spans="1:5" ht="51.75" customHeight="1" x14ac:dyDescent="0.3">
      <c r="A7" s="6" t="s">
        <v>22</v>
      </c>
      <c r="B7" s="7" t="s">
        <v>23</v>
      </c>
      <c r="C7" s="4" t="s">
        <v>24</v>
      </c>
      <c r="D7" s="8" t="s">
        <v>25</v>
      </c>
      <c r="E7" s="7" t="s">
        <v>26</v>
      </c>
    </row>
    <row r="8" spans="1:5" ht="51.75" customHeight="1" x14ac:dyDescent="0.3">
      <c r="A8" s="2" t="s">
        <v>27</v>
      </c>
      <c r="B8" s="3" t="s">
        <v>28</v>
      </c>
      <c r="C8" s="4" t="s">
        <v>29</v>
      </c>
      <c r="D8" s="5" t="s">
        <v>25</v>
      </c>
      <c r="E8" s="3" t="s">
        <v>30</v>
      </c>
    </row>
    <row r="9" spans="1:5" ht="51.75" customHeight="1" x14ac:dyDescent="0.3">
      <c r="A9" s="6" t="s">
        <v>31</v>
      </c>
      <c r="B9" s="7" t="s">
        <v>32</v>
      </c>
      <c r="C9" s="4" t="s">
        <v>33</v>
      </c>
      <c r="D9" s="8" t="s">
        <v>34</v>
      </c>
      <c r="E9" s="7" t="s">
        <v>35</v>
      </c>
    </row>
    <row r="10" spans="1:5" ht="51.75" customHeight="1" x14ac:dyDescent="0.3">
      <c r="A10" s="2" t="s">
        <v>36</v>
      </c>
      <c r="B10" s="3" t="s">
        <v>37</v>
      </c>
      <c r="C10" s="4" t="s">
        <v>38</v>
      </c>
      <c r="D10" s="5" t="s">
        <v>39</v>
      </c>
      <c r="E10" s="3" t="s">
        <v>40</v>
      </c>
    </row>
    <row r="11" spans="1:5" ht="51.75" customHeight="1" x14ac:dyDescent="0.3">
      <c r="A11" s="6" t="s">
        <v>41</v>
      </c>
      <c r="B11" s="7" t="s">
        <v>42</v>
      </c>
      <c r="C11" s="4" t="s">
        <v>43</v>
      </c>
      <c r="D11" s="8" t="s">
        <v>44</v>
      </c>
      <c r="E11" s="7" t="s">
        <v>45</v>
      </c>
    </row>
    <row r="12" spans="1:5" ht="13.5" customHeight="1" x14ac:dyDescent="0.3">
      <c r="A12" s="32" t="s">
        <v>46</v>
      </c>
      <c r="B12" s="29"/>
      <c r="C12" s="29"/>
      <c r="D12" s="29"/>
      <c r="E12" s="30"/>
    </row>
    <row r="13" spans="1:5" ht="14.25" customHeight="1" x14ac:dyDescent="0.3"/>
    <row r="14" spans="1:5" ht="14.25" customHeight="1" x14ac:dyDescent="0.3"/>
    <row r="15" spans="1:5" ht="14.25" customHeight="1" x14ac:dyDescent="0.3"/>
    <row r="16" spans="1:5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3">
    <mergeCell ref="A1:E1"/>
    <mergeCell ref="A2:E2"/>
    <mergeCell ref="A12:E12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zoomScale="103" workbookViewId="0">
      <selection activeCell="D11" sqref="D11"/>
    </sheetView>
  </sheetViews>
  <sheetFormatPr defaultColWidth="14.44140625" defaultRowHeight="15" customHeight="1" x14ac:dyDescent="0.3"/>
  <cols>
    <col min="1" max="1" width="16" customWidth="1"/>
    <col min="2" max="2" width="36" customWidth="1"/>
    <col min="3" max="3" width="26" customWidth="1"/>
    <col min="4" max="4" width="16" customWidth="1"/>
    <col min="5" max="5" width="8.5546875" customWidth="1"/>
    <col min="6" max="6" width="14.5546875" customWidth="1"/>
    <col min="7" max="7" width="34.44140625" customWidth="1"/>
    <col min="8" max="8" width="30" customWidth="1"/>
    <col min="9" max="9" width="41.6640625" customWidth="1"/>
    <col min="10" max="10" width="8.5546875" customWidth="1"/>
    <col min="11" max="11" width="12.33203125" customWidth="1"/>
    <col min="12" max="26" width="8.5546875" customWidth="1"/>
  </cols>
  <sheetData>
    <row r="1" spans="1:13" ht="31.5" customHeight="1" x14ac:dyDescent="0.3">
      <c r="A1" s="28" t="s">
        <v>47</v>
      </c>
      <c r="B1" s="29"/>
      <c r="C1" s="29"/>
      <c r="D1" s="30"/>
      <c r="F1" s="31" t="s">
        <v>48</v>
      </c>
      <c r="G1" s="29"/>
      <c r="H1" s="29"/>
      <c r="I1" s="33"/>
      <c r="J1" s="9"/>
      <c r="K1" s="10"/>
      <c r="L1" s="11"/>
      <c r="M1" s="11"/>
    </row>
    <row r="2" spans="1:13" ht="18" customHeight="1" x14ac:dyDescent="0.3">
      <c r="A2" s="31" t="s">
        <v>49</v>
      </c>
      <c r="B2" s="29"/>
      <c r="C2" s="29"/>
      <c r="D2" s="30"/>
      <c r="F2" s="1" t="s">
        <v>2</v>
      </c>
      <c r="G2" s="1" t="s">
        <v>50</v>
      </c>
      <c r="H2" s="1" t="s">
        <v>51</v>
      </c>
      <c r="I2" s="12" t="s">
        <v>52</v>
      </c>
      <c r="J2" s="13"/>
      <c r="K2" s="10"/>
      <c r="L2" s="11"/>
      <c r="M2" s="11"/>
    </row>
    <row r="3" spans="1:13" ht="19.5" customHeight="1" x14ac:dyDescent="0.3">
      <c r="A3" s="39" t="s">
        <v>53</v>
      </c>
      <c r="B3" s="40" t="s">
        <v>54</v>
      </c>
      <c r="C3" s="40" t="s">
        <v>55</v>
      </c>
      <c r="D3" s="41" t="s">
        <v>56</v>
      </c>
      <c r="F3" s="1" t="s">
        <v>7</v>
      </c>
      <c r="G3" s="14" t="s">
        <v>57</v>
      </c>
      <c r="H3" s="15" t="str">
        <f>LEFT(A4,3)</f>
        <v>EMP</v>
      </c>
      <c r="I3" s="16" t="s">
        <v>58</v>
      </c>
      <c r="J3" s="16"/>
      <c r="K3" s="10"/>
      <c r="L3" s="11"/>
      <c r="M3" s="11"/>
    </row>
    <row r="4" spans="1:13" ht="19.5" customHeight="1" x14ac:dyDescent="0.3">
      <c r="A4" s="35" t="s">
        <v>59</v>
      </c>
      <c r="B4" s="7" t="s">
        <v>60</v>
      </c>
      <c r="C4" s="7" t="s">
        <v>61</v>
      </c>
      <c r="D4" s="37" t="s">
        <v>62</v>
      </c>
      <c r="F4" s="1" t="s">
        <v>12</v>
      </c>
      <c r="G4" s="14" t="s">
        <v>63</v>
      </c>
      <c r="H4" s="15" t="str">
        <f>RIGHT(A4,3)</f>
        <v>101</v>
      </c>
      <c r="I4" s="16" t="s">
        <v>64</v>
      </c>
      <c r="J4" s="16"/>
      <c r="K4" s="10"/>
      <c r="L4" s="11"/>
      <c r="M4" s="11"/>
    </row>
    <row r="5" spans="1:13" ht="19.5" customHeight="1" x14ac:dyDescent="0.3">
      <c r="A5" s="36" t="s">
        <v>65</v>
      </c>
      <c r="B5" s="3" t="s">
        <v>66</v>
      </c>
      <c r="C5" s="3" t="s">
        <v>67</v>
      </c>
      <c r="D5" s="38" t="s">
        <v>68</v>
      </c>
      <c r="F5" s="1" t="s">
        <v>17</v>
      </c>
      <c r="G5" s="14" t="s">
        <v>69</v>
      </c>
      <c r="H5" s="15" t="str">
        <f>MID(A4,5,4)</f>
        <v>2024</v>
      </c>
      <c r="I5" s="16" t="s">
        <v>70</v>
      </c>
      <c r="J5" s="16"/>
      <c r="K5" s="18"/>
      <c r="L5" s="19"/>
      <c r="M5" s="19"/>
    </row>
    <row r="6" spans="1:13" ht="19.5" customHeight="1" x14ac:dyDescent="0.3">
      <c r="A6" s="35" t="s">
        <v>71</v>
      </c>
      <c r="B6" s="7" t="s">
        <v>72</v>
      </c>
      <c r="C6" s="7" t="s">
        <v>73</v>
      </c>
      <c r="D6" s="37" t="s">
        <v>74</v>
      </c>
      <c r="F6" s="1" t="s">
        <v>22</v>
      </c>
      <c r="G6" s="14" t="s">
        <v>75</v>
      </c>
      <c r="H6" s="15" t="str">
        <f>UPPER(D4)</f>
        <v>SALES</v>
      </c>
      <c r="I6" s="16" t="s">
        <v>76</v>
      </c>
      <c r="J6" s="16"/>
      <c r="K6" s="16"/>
    </row>
    <row r="7" spans="1:13" ht="19.5" customHeight="1" x14ac:dyDescent="0.3">
      <c r="A7" s="36" t="s">
        <v>77</v>
      </c>
      <c r="B7" s="3" t="s">
        <v>78</v>
      </c>
      <c r="C7" s="3" t="s">
        <v>79</v>
      </c>
      <c r="D7" s="38" t="s">
        <v>80</v>
      </c>
      <c r="F7" s="1" t="s">
        <v>27</v>
      </c>
      <c r="G7" s="14" t="s">
        <v>81</v>
      </c>
      <c r="H7" s="15" t="str">
        <f>LOWER(C4)</f>
        <v>rohan.sharma@mail.com</v>
      </c>
      <c r="I7" s="16" t="s">
        <v>82</v>
      </c>
      <c r="J7" s="16"/>
      <c r="K7" s="16"/>
    </row>
    <row r="8" spans="1:13" ht="19.5" customHeight="1" x14ac:dyDescent="0.3">
      <c r="A8" s="42" t="s">
        <v>83</v>
      </c>
      <c r="B8" s="43" t="s">
        <v>84</v>
      </c>
      <c r="C8" s="43" t="s">
        <v>85</v>
      </c>
      <c r="D8" s="44" t="s">
        <v>62</v>
      </c>
      <c r="F8" s="1" t="s">
        <v>31</v>
      </c>
      <c r="G8" s="14" t="s">
        <v>86</v>
      </c>
      <c r="H8" s="15" t="str">
        <f>PROPER(TRIM(B4))</f>
        <v>Rohan Sharma</v>
      </c>
      <c r="I8" s="16" t="s">
        <v>87</v>
      </c>
      <c r="J8" s="16"/>
      <c r="K8" s="16"/>
    </row>
    <row r="9" spans="1:13" ht="24" customHeight="1" x14ac:dyDescent="0.3">
      <c r="F9" s="1" t="s">
        <v>36</v>
      </c>
      <c r="G9" s="14" t="s">
        <v>88</v>
      </c>
      <c r="H9" s="15" t="str">
        <f>TRIM(B5)</f>
        <v>PRIYA VERMA</v>
      </c>
      <c r="I9" s="16" t="s">
        <v>89</v>
      </c>
      <c r="J9" s="16"/>
      <c r="K9" s="16"/>
    </row>
    <row r="10" spans="1:13" ht="18" customHeight="1" x14ac:dyDescent="0.3">
      <c r="F10" s="1" t="s">
        <v>41</v>
      </c>
      <c r="G10" s="14" t="s">
        <v>90</v>
      </c>
      <c r="H10" s="15" t="str">
        <f>CONCATENATE(LEFT(A4,3),"-",D4)</f>
        <v>EMP-Sales</v>
      </c>
      <c r="I10" s="16" t="s">
        <v>91</v>
      </c>
      <c r="J10" s="16"/>
      <c r="K10" s="16"/>
    </row>
    <row r="11" spans="1:13" ht="19.5" customHeight="1" x14ac:dyDescent="0.3">
      <c r="F11" s="32" t="s">
        <v>92</v>
      </c>
      <c r="G11" s="29"/>
      <c r="H11" s="29"/>
      <c r="I11" s="29"/>
      <c r="J11" s="29"/>
      <c r="K11" s="30"/>
    </row>
    <row r="12" spans="1:13" ht="27.75" customHeight="1" x14ac:dyDescent="0.3"/>
    <row r="13" spans="1:13" ht="27.75" customHeight="1" x14ac:dyDescent="0.3"/>
    <row r="14" spans="1:13" ht="27.75" customHeight="1" x14ac:dyDescent="0.3"/>
    <row r="15" spans="1:13" ht="27.75" customHeight="1" x14ac:dyDescent="0.3"/>
    <row r="16" spans="1:13" ht="27.75" customHeight="1" x14ac:dyDescent="0.3"/>
    <row r="17" ht="27.75" customHeight="1" x14ac:dyDescent="0.3"/>
    <row r="18" ht="27.75" customHeight="1" x14ac:dyDescent="0.3"/>
    <row r="19" ht="27.75" customHeight="1" x14ac:dyDescent="0.3"/>
    <row r="20" ht="13.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4">
    <mergeCell ref="A1:D1"/>
    <mergeCell ref="F1:I1"/>
    <mergeCell ref="A2:D2"/>
    <mergeCell ref="F11:K11"/>
  </mergeCells>
  <pageMargins left="0.75" right="0.75" top="1" bottom="1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>
      <selection activeCell="H13" sqref="H13"/>
    </sheetView>
  </sheetViews>
  <sheetFormatPr defaultColWidth="14.44140625" defaultRowHeight="15" customHeight="1" x14ac:dyDescent="0.3"/>
  <cols>
    <col min="1" max="1" width="11.44140625" customWidth="1"/>
    <col min="2" max="2" width="19.5546875" customWidth="1"/>
    <col min="3" max="3" width="26.109375" customWidth="1"/>
    <col min="4" max="4" width="16" customWidth="1"/>
    <col min="5" max="6" width="8.5546875" customWidth="1"/>
    <col min="7" max="7" width="55.5546875" customWidth="1"/>
    <col min="8" max="8" width="27.21875" customWidth="1"/>
    <col min="9" max="26" width="8.5546875" customWidth="1"/>
  </cols>
  <sheetData>
    <row r="1" spans="1:8" ht="31.5" customHeight="1" x14ac:dyDescent="0.3">
      <c r="A1" s="28" t="s">
        <v>93</v>
      </c>
      <c r="B1" s="29"/>
      <c r="C1" s="29"/>
      <c r="D1" s="30"/>
      <c r="F1" s="31" t="s">
        <v>94</v>
      </c>
      <c r="G1" s="29"/>
      <c r="H1" s="30"/>
    </row>
    <row r="2" spans="1:8" ht="18" customHeight="1" x14ac:dyDescent="0.3">
      <c r="A2" s="31" t="s">
        <v>95</v>
      </c>
      <c r="B2" s="29"/>
      <c r="C2" s="29"/>
      <c r="D2" s="30"/>
      <c r="F2" s="1" t="s">
        <v>96</v>
      </c>
      <c r="G2" s="1" t="s">
        <v>97</v>
      </c>
      <c r="H2" s="12" t="s">
        <v>98</v>
      </c>
    </row>
    <row r="3" spans="1:8" ht="19.5" customHeight="1" x14ac:dyDescent="0.3">
      <c r="A3" s="1" t="s">
        <v>99</v>
      </c>
      <c r="B3" s="1" t="s">
        <v>100</v>
      </c>
      <c r="C3" s="1" t="s">
        <v>55</v>
      </c>
      <c r="D3" s="1" t="s">
        <v>101</v>
      </c>
      <c r="F3" s="20" t="s">
        <v>102</v>
      </c>
      <c r="G3" s="7" t="s">
        <v>103</v>
      </c>
      <c r="H3" s="21" t="str">
        <f>LEFT(A4,2)</f>
        <v>BK</v>
      </c>
    </row>
    <row r="4" spans="1:8" ht="19.5" customHeight="1" x14ac:dyDescent="0.3">
      <c r="A4" s="17" t="s">
        <v>104</v>
      </c>
      <c r="B4" s="7" t="s">
        <v>105</v>
      </c>
      <c r="C4" s="7" t="s">
        <v>106</v>
      </c>
      <c r="D4" s="7" t="s">
        <v>107</v>
      </c>
      <c r="F4" s="20" t="s">
        <v>108</v>
      </c>
      <c r="G4" s="7" t="s">
        <v>109</v>
      </c>
      <c r="H4" s="21" t="str">
        <f>MID(A4,4,4)</f>
        <v>2024</v>
      </c>
    </row>
    <row r="5" spans="1:8" ht="19.5" customHeight="1" x14ac:dyDescent="0.3">
      <c r="A5" s="22" t="s">
        <v>110</v>
      </c>
      <c r="B5" s="23" t="s">
        <v>111</v>
      </c>
      <c r="C5" s="23" t="s">
        <v>112</v>
      </c>
      <c r="D5" s="23" t="s">
        <v>113</v>
      </c>
      <c r="F5" s="20" t="s">
        <v>114</v>
      </c>
      <c r="G5" s="7" t="s">
        <v>115</v>
      </c>
      <c r="H5" s="21" t="str">
        <f>RIGHT(A5,3)</f>
        <v>502</v>
      </c>
    </row>
    <row r="6" spans="1:8" ht="19.5" customHeight="1" x14ac:dyDescent="0.3">
      <c r="A6" s="17" t="s">
        <v>116</v>
      </c>
      <c r="B6" s="7" t="s">
        <v>117</v>
      </c>
      <c r="C6" s="7" t="s">
        <v>118</v>
      </c>
      <c r="D6" s="7" t="s">
        <v>119</v>
      </c>
      <c r="F6" s="20" t="s">
        <v>120</v>
      </c>
      <c r="G6" s="7" t="s">
        <v>121</v>
      </c>
      <c r="H6" s="21" t="str">
        <f>UPPER(D6)</f>
        <v>KOCHI</v>
      </c>
    </row>
    <row r="7" spans="1:8" ht="49.2" customHeight="1" x14ac:dyDescent="0.3">
      <c r="A7" s="22" t="s">
        <v>122</v>
      </c>
      <c r="B7" s="23" t="s">
        <v>123</v>
      </c>
      <c r="C7" s="23" t="s">
        <v>124</v>
      </c>
      <c r="D7" s="23" t="s">
        <v>125</v>
      </c>
      <c r="F7" s="20" t="s">
        <v>126</v>
      </c>
      <c r="G7" s="7" t="s">
        <v>127</v>
      </c>
      <c r="H7" s="21" t="str">
        <f>LOWER(C4)</f>
        <v>ananya.singh@shop.com</v>
      </c>
    </row>
    <row r="8" spans="1:8" ht="28.2" customHeight="1" x14ac:dyDescent="0.3">
      <c r="A8" s="17" t="s">
        <v>128</v>
      </c>
      <c r="B8" s="7" t="s">
        <v>129</v>
      </c>
      <c r="C8" s="7" t="s">
        <v>130</v>
      </c>
      <c r="D8" s="7" t="s">
        <v>131</v>
      </c>
      <c r="F8" s="20" t="s">
        <v>132</v>
      </c>
      <c r="G8" s="7" t="s">
        <v>133</v>
      </c>
      <c r="H8" s="21" t="str">
        <f>PROPER(TRIM(B7))</f>
        <v>Kabir Khan</v>
      </c>
    </row>
    <row r="9" spans="1:8" ht="52.2" customHeight="1" x14ac:dyDescent="0.3">
      <c r="A9" s="22" t="s">
        <v>134</v>
      </c>
      <c r="B9" s="23" t="s">
        <v>135</v>
      </c>
      <c r="C9" s="23" t="s">
        <v>136</v>
      </c>
      <c r="D9" s="23" t="s">
        <v>107</v>
      </c>
      <c r="F9" s="20" t="s">
        <v>137</v>
      </c>
      <c r="G9" s="7" t="s">
        <v>138</v>
      </c>
      <c r="H9" s="21" t="str">
        <f>TRIM(B8)</f>
        <v>Tanya Malhotra</v>
      </c>
    </row>
    <row r="10" spans="1:8" ht="42.6" customHeight="1" x14ac:dyDescent="0.3">
      <c r="F10" s="20" t="s">
        <v>139</v>
      </c>
      <c r="G10" s="7" t="s">
        <v>140</v>
      </c>
      <c r="H10" s="21" t="str">
        <f>_xlfn.CONCAT(D9,"-",A9)</f>
        <v>Pune-BK-2024-506</v>
      </c>
    </row>
    <row r="11" spans="1:8" ht="42" customHeight="1" x14ac:dyDescent="0.3">
      <c r="F11" s="20" t="s">
        <v>141</v>
      </c>
      <c r="G11" s="7" t="s">
        <v>142</v>
      </c>
      <c r="H11" s="21" t="str">
        <f>PROPER(TRIM(B9))</f>
        <v>Deepak Rao</v>
      </c>
    </row>
    <row r="12" spans="1:8" ht="27" customHeight="1" x14ac:dyDescent="0.3">
      <c r="F12" s="20" t="s">
        <v>143</v>
      </c>
      <c r="G12" s="7" t="s">
        <v>144</v>
      </c>
      <c r="H12" s="21" t="str">
        <f>MID(A7,4,4)</f>
        <v>2024</v>
      </c>
    </row>
    <row r="13" spans="1:8" ht="31.5" customHeight="1" x14ac:dyDescent="0.3"/>
    <row r="14" spans="1:8" ht="31.5" customHeight="1" x14ac:dyDescent="0.3"/>
    <row r="15" spans="1:8" ht="31.5" customHeight="1" x14ac:dyDescent="0.3"/>
    <row r="16" spans="1:8" ht="31.5" customHeight="1" x14ac:dyDescent="0.3"/>
    <row r="17" ht="31.5" customHeight="1" x14ac:dyDescent="0.3"/>
    <row r="18" ht="31.5" customHeight="1" x14ac:dyDescent="0.3"/>
    <row r="19" ht="31.5" customHeight="1" x14ac:dyDescent="0.3"/>
    <row r="20" ht="31.5" customHeight="1" x14ac:dyDescent="0.3"/>
    <row r="21" ht="31.5" customHeight="1" x14ac:dyDescent="0.3"/>
    <row r="22" ht="31.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3">
    <mergeCell ref="A1:D1"/>
    <mergeCell ref="F1:H1"/>
    <mergeCell ref="A2:D2"/>
  </mergeCells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000"/>
  <sheetViews>
    <sheetView tabSelected="1" topLeftCell="C1" workbookViewId="0">
      <selection activeCell="F3" sqref="F3"/>
    </sheetView>
  </sheetViews>
  <sheetFormatPr defaultColWidth="14.44140625" defaultRowHeight="15" customHeight="1" x14ac:dyDescent="0.3"/>
  <cols>
    <col min="1" max="1" width="13.21875" customWidth="1"/>
    <col min="2" max="2" width="11.77734375" customWidth="1"/>
    <col min="3" max="3" width="11.6640625" customWidth="1"/>
    <col min="4" max="4" width="14.5546875" customWidth="1"/>
    <col min="5" max="6" width="8.6640625" customWidth="1"/>
    <col min="7" max="7" width="14.33203125" customWidth="1"/>
    <col min="8" max="8" width="15.109375" customWidth="1"/>
    <col min="9" max="9" width="8.6640625" customWidth="1"/>
    <col min="10" max="10" width="16.44140625" customWidth="1"/>
    <col min="11" max="11" width="18.44140625" customWidth="1"/>
    <col min="12" max="12" width="11.33203125" customWidth="1"/>
    <col min="13" max="13" width="19.109375" customWidth="1"/>
    <col min="14" max="14" width="14.21875" customWidth="1"/>
    <col min="15" max="26" width="8.6640625" customWidth="1"/>
  </cols>
  <sheetData>
    <row r="1" spans="1:17" ht="14.25" customHeight="1" x14ac:dyDescent="0.3">
      <c r="A1" s="24" t="s">
        <v>145</v>
      </c>
      <c r="B1" s="24" t="s">
        <v>146</v>
      </c>
      <c r="C1" s="24" t="s">
        <v>147</v>
      </c>
      <c r="D1" s="24" t="s">
        <v>148</v>
      </c>
      <c r="E1" s="24" t="s">
        <v>101</v>
      </c>
      <c r="F1" s="24" t="s">
        <v>149</v>
      </c>
      <c r="G1" s="24" t="s">
        <v>150</v>
      </c>
      <c r="H1" s="24" t="s">
        <v>281</v>
      </c>
      <c r="I1" s="24" t="s">
        <v>282</v>
      </c>
      <c r="J1" s="24" t="s">
        <v>283</v>
      </c>
      <c r="K1" s="24" t="s">
        <v>284</v>
      </c>
      <c r="L1" s="24" t="s">
        <v>285</v>
      </c>
      <c r="M1" s="24" t="s">
        <v>286</v>
      </c>
      <c r="N1" s="24" t="s">
        <v>287</v>
      </c>
      <c r="O1" s="24" t="s">
        <v>288</v>
      </c>
      <c r="P1" s="24" t="s">
        <v>289</v>
      </c>
      <c r="Q1" s="24" t="s">
        <v>290</v>
      </c>
    </row>
    <row r="2" spans="1:17" ht="14.25" customHeight="1" x14ac:dyDescent="0.3">
      <c r="A2" s="25" t="s">
        <v>151</v>
      </c>
      <c r="B2" s="25" t="s">
        <v>152</v>
      </c>
      <c r="C2" s="25" t="s">
        <v>153</v>
      </c>
      <c r="D2" s="26" t="s">
        <v>154</v>
      </c>
      <c r="E2" s="25" t="s">
        <v>155</v>
      </c>
      <c r="F2" s="25" t="s">
        <v>156</v>
      </c>
      <c r="G2" s="25" t="s">
        <v>157</v>
      </c>
      <c r="H2" s="25" t="str">
        <f>PROPER(Table1[[#This Row],[First Name]])</f>
        <v>John</v>
      </c>
      <c r="I2" s="25" t="str">
        <f>PROPER(TRIM(Table1[[#This Row],[Last Name]]))</f>
        <v>Smith</v>
      </c>
      <c r="J2" s="25" t="str">
        <f>_xlfn.CONCAT(Table1[[#This Row],[Name correction]]," ",Table1[[#This Row],[name correction 2]])</f>
        <v>John Smith</v>
      </c>
      <c r="K2" s="34" t="str">
        <f>LOWER(Table1[[#This Row],[Email Address]])</f>
        <v>john.smith@gmail.com</v>
      </c>
      <c r="L2" s="34" t="str">
        <f>PROPER(Table1[[#This Row],[City]])</f>
        <v>Kochi</v>
      </c>
      <c r="M2" s="34" t="str">
        <f>UPPER(Table1[[#This Row],[State]])</f>
        <v>KERALA</v>
      </c>
      <c r="N2" s="34" t="str">
        <f>LEFT(Table1[[#This Row],[Product Code]],3)</f>
        <v>LAP</v>
      </c>
      <c r="O2" s="34" t="str">
        <f>RIGHT(Table1[[#This Row],[Product Code]],3)</f>
        <v>001</v>
      </c>
      <c r="P2" s="34" t="str">
        <f>MID(Table1[[#This Row],[Product Code]],5,3)</f>
        <v>101</v>
      </c>
      <c r="Q2" s="34">
        <f>LEN(Table1[[#This Row],[joining]])</f>
        <v>10</v>
      </c>
    </row>
    <row r="3" spans="1:17" ht="14.25" customHeight="1" x14ac:dyDescent="0.3">
      <c r="A3" s="25" t="s">
        <v>158</v>
      </c>
      <c r="B3" s="25" t="s">
        <v>159</v>
      </c>
      <c r="C3" s="25" t="s">
        <v>160</v>
      </c>
      <c r="D3" s="26" t="s">
        <v>161</v>
      </c>
      <c r="E3" s="25" t="s">
        <v>162</v>
      </c>
      <c r="F3" s="25" t="s">
        <v>291</v>
      </c>
      <c r="G3" s="25" t="s">
        <v>163</v>
      </c>
      <c r="H3" s="25" t="str">
        <f>PROPER(Table1[[#This Row],[First Name]])</f>
        <v>Emma</v>
      </c>
      <c r="I3" s="25" t="str">
        <f>PROPER(TRIM(Table1[[#This Row],[Last Name]]))</f>
        <v>Wilson</v>
      </c>
      <c r="J3" s="25" t="str">
        <f>_xlfn.CONCAT(Table1[[#This Row],[Name correction]]," ",Table1[[#This Row],[name correction 2]])</f>
        <v>Emma Wilson</v>
      </c>
      <c r="K3" s="34" t="str">
        <f>LOWER(Table1[[#This Row],[Email Address]])</f>
        <v>emmawilson@yahoo.com</v>
      </c>
      <c r="L3" s="34" t="str">
        <f>PROPER(Table1[[#This Row],[City]])</f>
        <v>Chennai</v>
      </c>
      <c r="M3" s="34" t="str">
        <f>UPPER(Table1[[#This Row],[State]])</f>
        <v>TAMILNADU</v>
      </c>
      <c r="N3" s="34" t="str">
        <f>LEFT(Table1[[#This Row],[Product Code]],3)</f>
        <v>MOB</v>
      </c>
      <c r="O3" s="34" t="str">
        <f>RIGHT(Table1[[#This Row],[Product Code]],3)</f>
        <v>002</v>
      </c>
      <c r="P3" s="34" t="str">
        <f>MID(Table1[[#This Row],[Product Code]],5,3)</f>
        <v>205</v>
      </c>
      <c r="Q3" s="34">
        <f>LEN(Table1[[#This Row],[joining]])</f>
        <v>11</v>
      </c>
    </row>
    <row r="4" spans="1:17" ht="14.25" customHeight="1" x14ac:dyDescent="0.3">
      <c r="A4" s="25" t="s">
        <v>164</v>
      </c>
      <c r="B4" s="25" t="s">
        <v>165</v>
      </c>
      <c r="C4" s="25" t="s">
        <v>166</v>
      </c>
      <c r="D4" s="27" t="s">
        <v>167</v>
      </c>
      <c r="E4" s="25" t="s">
        <v>168</v>
      </c>
      <c r="F4" s="25" t="s">
        <v>169</v>
      </c>
      <c r="G4" s="25" t="s">
        <v>170</v>
      </c>
      <c r="H4" s="25" t="str">
        <f>PROPER(Table1[[#This Row],[First Name]])</f>
        <v>Arjun</v>
      </c>
      <c r="I4" s="25" t="str">
        <f>PROPER(TRIM(Table1[[#This Row],[Last Name]]))</f>
        <v>Nair</v>
      </c>
      <c r="J4" s="25" t="str">
        <f>_xlfn.CONCAT(Table1[[#This Row],[Name correction]]," ",Table1[[#This Row],[name correction 2]])</f>
        <v>Arjun Nair</v>
      </c>
      <c r="K4" s="34" t="str">
        <f>LOWER(Table1[[#This Row],[Email Address]])</f>
        <v>arjun.nair@outlook.com</v>
      </c>
      <c r="L4" s="34" t="str">
        <f>PROPER(Table1[[#This Row],[City]])</f>
        <v>Bengaluru</v>
      </c>
      <c r="M4" s="34" t="str">
        <f>UPPER(Table1[[#This Row],[State]])</f>
        <v>KARNATAKA</v>
      </c>
      <c r="N4" s="34" t="str">
        <f>LEFT(Table1[[#This Row],[Product Code]],3)</f>
        <v>ACC</v>
      </c>
      <c r="O4" s="34" t="str">
        <f>RIGHT(Table1[[#This Row],[Product Code]],3)</f>
        <v>003</v>
      </c>
      <c r="P4" s="34" t="str">
        <f>MID(Table1[[#This Row],[Product Code]],5,3)</f>
        <v>110</v>
      </c>
      <c r="Q4" s="34">
        <f>LEN(Table1[[#This Row],[joining]])</f>
        <v>10</v>
      </c>
    </row>
    <row r="5" spans="1:17" ht="14.25" customHeight="1" x14ac:dyDescent="0.3">
      <c r="A5" s="25" t="s">
        <v>264</v>
      </c>
      <c r="B5" s="25" t="s">
        <v>171</v>
      </c>
      <c r="C5" s="25" t="s">
        <v>172</v>
      </c>
      <c r="D5" s="26" t="s">
        <v>173</v>
      </c>
      <c r="E5" s="25" t="s">
        <v>174</v>
      </c>
      <c r="F5" s="25" t="s">
        <v>156</v>
      </c>
      <c r="G5" s="25" t="s">
        <v>175</v>
      </c>
      <c r="H5" s="25" t="str">
        <f>PROPER(Table1[[#This Row],[First Name]])</f>
        <v>Priya</v>
      </c>
      <c r="I5" s="25" t="str">
        <f>PROPER(TRIM(Table1[[#This Row],[Last Name]]))</f>
        <v>Menon</v>
      </c>
      <c r="J5" s="25" t="str">
        <f>_xlfn.CONCAT(Table1[[#This Row],[Name correction]]," ",Table1[[#This Row],[name correction 2]])</f>
        <v>Priya Menon</v>
      </c>
      <c r="K5" s="34" t="str">
        <f>LOWER(Table1[[#This Row],[Email Address]])</f>
        <v>priya.menon@gmail.com</v>
      </c>
      <c r="L5" s="34" t="str">
        <f>PROPER(Table1[[#This Row],[City]])</f>
        <v>Trivandrum</v>
      </c>
      <c r="M5" s="34" t="str">
        <f>UPPER(Table1[[#This Row],[State]])</f>
        <v>KERALA</v>
      </c>
      <c r="N5" s="34" t="str">
        <f>LEFT(Table1[[#This Row],[Product Code]],3)</f>
        <v>TAB</v>
      </c>
      <c r="O5" s="34" t="str">
        <f>RIGHT(Table1[[#This Row],[Product Code]],3)</f>
        <v>004</v>
      </c>
      <c r="P5" s="34" t="str">
        <f>MID(Table1[[#This Row],[Product Code]],5,3)</f>
        <v>115</v>
      </c>
      <c r="Q5" s="34">
        <f>LEN(Table1[[#This Row],[joining]])</f>
        <v>11</v>
      </c>
    </row>
    <row r="6" spans="1:17" ht="14.25" customHeight="1" x14ac:dyDescent="0.3">
      <c r="A6" s="25" t="s">
        <v>265</v>
      </c>
      <c r="B6" s="25" t="s">
        <v>176</v>
      </c>
      <c r="C6" s="25" t="s">
        <v>177</v>
      </c>
      <c r="D6" s="27" t="s">
        <v>178</v>
      </c>
      <c r="E6" s="25" t="s">
        <v>179</v>
      </c>
      <c r="F6" s="25" t="s">
        <v>180</v>
      </c>
      <c r="G6" s="25" t="s">
        <v>181</v>
      </c>
      <c r="H6" s="25" t="str">
        <f>PROPER(Table1[[#This Row],[First Name]])</f>
        <v>Rahul</v>
      </c>
      <c r="I6" s="25" t="str">
        <f>PROPER(TRIM(Table1[[#This Row],[Last Name]]))</f>
        <v>Sharma</v>
      </c>
      <c r="J6" s="25" t="str">
        <f>_xlfn.CONCAT(Table1[[#This Row],[Name correction]]," ",Table1[[#This Row],[name correction 2]])</f>
        <v>Rahul Sharma</v>
      </c>
      <c r="K6" s="34" t="str">
        <f>LOWER(Table1[[#This Row],[Email Address]])</f>
        <v>rahul.sharma@gmail.com</v>
      </c>
      <c r="L6" s="34" t="str">
        <f>PROPER(Table1[[#This Row],[City]])</f>
        <v>Mumbai</v>
      </c>
      <c r="M6" s="34" t="str">
        <f>UPPER(Table1[[#This Row],[State]])</f>
        <v>MAHARASHTRA</v>
      </c>
      <c r="N6" s="34" t="str">
        <f>LEFT(Table1[[#This Row],[Product Code]],3)</f>
        <v>CAM</v>
      </c>
      <c r="O6" s="34" t="str">
        <f>RIGHT(Table1[[#This Row],[Product Code]],3)</f>
        <v>005</v>
      </c>
      <c r="P6" s="34" t="str">
        <f>MID(Table1[[#This Row],[Product Code]],5,3)</f>
        <v>450</v>
      </c>
      <c r="Q6" s="34">
        <f>LEN(Table1[[#This Row],[joining]])</f>
        <v>12</v>
      </c>
    </row>
    <row r="7" spans="1:17" ht="14.25" customHeight="1" x14ac:dyDescent="0.3">
      <c r="A7" s="25" t="s">
        <v>266</v>
      </c>
      <c r="B7" s="25" t="s">
        <v>182</v>
      </c>
      <c r="C7" s="25" t="s">
        <v>183</v>
      </c>
      <c r="D7" s="27" t="s">
        <v>184</v>
      </c>
      <c r="E7" s="25" t="s">
        <v>185</v>
      </c>
      <c r="F7" s="25" t="s">
        <v>186</v>
      </c>
      <c r="G7" s="25" t="s">
        <v>187</v>
      </c>
      <c r="H7" s="25" t="str">
        <f>PROPER(Table1[[#This Row],[First Name]])</f>
        <v>Sneha</v>
      </c>
      <c r="I7" s="25" t="str">
        <f>PROPER(TRIM(Table1[[#This Row],[Last Name]]))</f>
        <v>Joseph</v>
      </c>
      <c r="J7" s="25" t="str">
        <f>_xlfn.CONCAT(Table1[[#This Row],[Name correction]]," ",Table1[[#This Row],[name correction 2]])</f>
        <v>Sneha Joseph</v>
      </c>
      <c r="K7" s="34" t="str">
        <f>LOWER(Table1[[#This Row],[Email Address]])</f>
        <v>snehaj@gmail.com</v>
      </c>
      <c r="L7" s="34" t="str">
        <f>PROPER(Table1[[#This Row],[City]])</f>
        <v>Hyderabad</v>
      </c>
      <c r="M7" s="34" t="str">
        <f>UPPER(Table1[[#This Row],[State]])</f>
        <v>TELANGANA</v>
      </c>
      <c r="N7" s="34" t="str">
        <f>LEFT(Table1[[#This Row],[Product Code]],3)</f>
        <v>SPK</v>
      </c>
      <c r="O7" s="34" t="str">
        <f>RIGHT(Table1[[#This Row],[Product Code]],3)</f>
        <v>006</v>
      </c>
      <c r="P7" s="34" t="str">
        <f>MID(Table1[[#This Row],[Product Code]],5,3)</f>
        <v>220</v>
      </c>
      <c r="Q7" s="34">
        <f>LEN(Table1[[#This Row],[joining]])</f>
        <v>12</v>
      </c>
    </row>
    <row r="8" spans="1:17" ht="14.25" customHeight="1" x14ac:dyDescent="0.3">
      <c r="A8" s="25" t="s">
        <v>267</v>
      </c>
      <c r="B8" s="25" t="s">
        <v>188</v>
      </c>
      <c r="C8" s="25" t="s">
        <v>189</v>
      </c>
      <c r="D8" s="27" t="s">
        <v>190</v>
      </c>
      <c r="E8" s="25" t="s">
        <v>191</v>
      </c>
      <c r="F8" s="25" t="s">
        <v>180</v>
      </c>
      <c r="G8" s="25" t="s">
        <v>192</v>
      </c>
      <c r="H8" s="25" t="str">
        <f>PROPER(Table1[[#This Row],[First Name]])</f>
        <v>David</v>
      </c>
      <c r="I8" s="25" t="str">
        <f>PROPER(TRIM(Table1[[#This Row],[Last Name]]))</f>
        <v>Brown</v>
      </c>
      <c r="J8" s="25" t="str">
        <f>_xlfn.CONCAT(Table1[[#This Row],[Name correction]]," ",Table1[[#This Row],[name correction 2]])</f>
        <v>David Brown</v>
      </c>
      <c r="K8" s="34" t="str">
        <f>LOWER(Table1[[#This Row],[Email Address]])</f>
        <v>david.brown@hotmail.com</v>
      </c>
      <c r="L8" s="34" t="str">
        <f>PROPER(Table1[[#This Row],[City]])</f>
        <v>Pune</v>
      </c>
      <c r="M8" s="34" t="str">
        <f>UPPER(Table1[[#This Row],[State]])</f>
        <v>MAHARASHTRA</v>
      </c>
      <c r="N8" s="34" t="str">
        <f>LEFT(Table1[[#This Row],[Product Code]],3)</f>
        <v>KEY</v>
      </c>
      <c r="O8" s="34" t="str">
        <f>RIGHT(Table1[[#This Row],[Product Code]],3)</f>
        <v>007</v>
      </c>
      <c r="P8" s="34" t="str">
        <f>MID(Table1[[#This Row],[Product Code]],5,3)</f>
        <v>301</v>
      </c>
      <c r="Q8" s="34">
        <f>LEN(Table1[[#This Row],[joining]])</f>
        <v>11</v>
      </c>
    </row>
    <row r="9" spans="1:17" ht="14.25" customHeight="1" x14ac:dyDescent="0.3">
      <c r="A9" s="25" t="s">
        <v>268</v>
      </c>
      <c r="B9" s="25" t="s">
        <v>193</v>
      </c>
      <c r="C9" s="25" t="s">
        <v>194</v>
      </c>
      <c r="D9" s="27" t="s">
        <v>195</v>
      </c>
      <c r="E9" s="25" t="s">
        <v>196</v>
      </c>
      <c r="F9" s="25" t="s">
        <v>197</v>
      </c>
      <c r="G9" s="25" t="s">
        <v>198</v>
      </c>
      <c r="H9" s="25" t="str">
        <f>PROPER(Table1[[#This Row],[First Name]])</f>
        <v>Anjali</v>
      </c>
      <c r="I9" s="25" t="str">
        <f>PROPER(TRIM(Table1[[#This Row],[Last Name]]))</f>
        <v>Das</v>
      </c>
      <c r="J9" s="25" t="str">
        <f>_xlfn.CONCAT(Table1[[#This Row],[Name correction]]," ",Table1[[#This Row],[name correction 2]])</f>
        <v>Anjali Das</v>
      </c>
      <c r="K9" s="34" t="str">
        <f>LOWER(Table1[[#This Row],[Email Address]])</f>
        <v>anjali.das@yahoo.com</v>
      </c>
      <c r="L9" s="34" t="str">
        <f>PROPER(Table1[[#This Row],[City]])</f>
        <v>Kolkata</v>
      </c>
      <c r="M9" s="34" t="str">
        <f>UPPER(Table1[[#This Row],[State]])</f>
        <v>WEST BENGAL</v>
      </c>
      <c r="N9" s="34" t="str">
        <f>LEFT(Table1[[#This Row],[Product Code]],3)</f>
        <v>MON</v>
      </c>
      <c r="O9" s="34" t="str">
        <f>RIGHT(Table1[[#This Row],[Product Code]],3)</f>
        <v>008</v>
      </c>
      <c r="P9" s="34" t="str">
        <f>MID(Table1[[#This Row],[Product Code]],5,3)</f>
        <v>240</v>
      </c>
      <c r="Q9" s="34">
        <f>LEN(Table1[[#This Row],[joining]])</f>
        <v>10</v>
      </c>
    </row>
    <row r="10" spans="1:17" ht="14.25" customHeight="1" x14ac:dyDescent="0.3">
      <c r="A10" s="25" t="s">
        <v>269</v>
      </c>
      <c r="B10" s="25" t="s">
        <v>199</v>
      </c>
      <c r="C10" s="25" t="s">
        <v>200</v>
      </c>
      <c r="D10" s="27" t="s">
        <v>201</v>
      </c>
      <c r="E10" s="25" t="s">
        <v>202</v>
      </c>
      <c r="F10" s="25" t="s">
        <v>202</v>
      </c>
      <c r="G10" s="25" t="s">
        <v>203</v>
      </c>
      <c r="H10" s="25" t="str">
        <f>PROPER(Table1[[#This Row],[First Name]])</f>
        <v>Mohammed</v>
      </c>
      <c r="I10" s="25" t="str">
        <f>PROPER(TRIM(Table1[[#This Row],[Last Name]]))</f>
        <v>Ali</v>
      </c>
      <c r="J10" s="25" t="str">
        <f>_xlfn.CONCAT(Table1[[#This Row],[Name correction]]," ",Table1[[#This Row],[name correction 2]])</f>
        <v>Mohammed Ali</v>
      </c>
      <c r="K10" s="34" t="str">
        <f>LOWER(Table1[[#This Row],[Email Address]])</f>
        <v>mohd.ali@gmail.com</v>
      </c>
      <c r="L10" s="34" t="str">
        <f>PROPER(Table1[[#This Row],[City]])</f>
        <v>Delhi</v>
      </c>
      <c r="M10" s="34" t="str">
        <f>UPPER(Table1[[#This Row],[State]])</f>
        <v>DELHI</v>
      </c>
      <c r="N10" s="34" t="str">
        <f>LEFT(Table1[[#This Row],[Product Code]],3)</f>
        <v>HDD</v>
      </c>
      <c r="O10" s="34" t="str">
        <f>RIGHT(Table1[[#This Row],[Product Code]],3)</f>
        <v>009</v>
      </c>
      <c r="P10" s="34" t="str">
        <f>MID(Table1[[#This Row],[Product Code]],5,3)</f>
        <v>500</v>
      </c>
      <c r="Q10" s="34">
        <f>LEN(Table1[[#This Row],[joining]])</f>
        <v>12</v>
      </c>
    </row>
    <row r="11" spans="1:17" ht="14.25" customHeight="1" x14ac:dyDescent="0.3">
      <c r="A11" s="25" t="s">
        <v>270</v>
      </c>
      <c r="B11" s="25" t="s">
        <v>204</v>
      </c>
      <c r="C11" s="25" t="s">
        <v>205</v>
      </c>
      <c r="D11" s="27" t="s">
        <v>206</v>
      </c>
      <c r="E11" s="25" t="s">
        <v>207</v>
      </c>
      <c r="F11" s="25" t="s">
        <v>208</v>
      </c>
      <c r="G11" s="25" t="s">
        <v>209</v>
      </c>
      <c r="H11" s="25" t="str">
        <f>PROPER(Table1[[#This Row],[First Name]])</f>
        <v>Neha</v>
      </c>
      <c r="I11" s="25" t="str">
        <f>PROPER(TRIM(Table1[[#This Row],[Last Name]]))</f>
        <v>Patel</v>
      </c>
      <c r="J11" s="25" t="str">
        <f>_xlfn.CONCAT(Table1[[#This Row],[Name correction]]," ",Table1[[#This Row],[name correction 2]])</f>
        <v>Neha Patel</v>
      </c>
      <c r="K11" s="34" t="str">
        <f>LOWER(Table1[[#This Row],[Email Address]])</f>
        <v>neha_patel@outlook.com</v>
      </c>
      <c r="L11" s="34" t="str">
        <f>PROPER(Table1[[#This Row],[City]])</f>
        <v>Ahmedabad</v>
      </c>
      <c r="M11" s="34" t="str">
        <f>UPPER(Table1[[#This Row],[State]])</f>
        <v>GUJARAT</v>
      </c>
      <c r="N11" s="34" t="str">
        <f>LEFT(Table1[[#This Row],[Product Code]],3)</f>
        <v>SSD</v>
      </c>
      <c r="O11" s="34" t="str">
        <f>RIGHT(Table1[[#This Row],[Product Code]],3)</f>
        <v>010</v>
      </c>
      <c r="P11" s="34" t="str">
        <f>MID(Table1[[#This Row],[Product Code]],5,3)</f>
        <v>512</v>
      </c>
      <c r="Q11" s="34">
        <f>LEN(Table1[[#This Row],[joining]])</f>
        <v>10</v>
      </c>
    </row>
    <row r="12" spans="1:17" ht="14.25" customHeight="1" x14ac:dyDescent="0.3">
      <c r="A12" s="25" t="s">
        <v>271</v>
      </c>
      <c r="B12" s="25" t="s">
        <v>210</v>
      </c>
      <c r="C12" s="25" t="s">
        <v>211</v>
      </c>
      <c r="D12" s="27" t="s">
        <v>212</v>
      </c>
      <c r="E12" s="25" t="s">
        <v>213</v>
      </c>
      <c r="F12" s="25" t="s">
        <v>214</v>
      </c>
      <c r="G12" s="25" t="s">
        <v>215</v>
      </c>
      <c r="H12" s="25" t="str">
        <f>PROPER(Table1[[#This Row],[First Name]])</f>
        <v>Rohan</v>
      </c>
      <c r="I12" s="25" t="str">
        <f>PROPER(TRIM(Table1[[#This Row],[Last Name]]))</f>
        <v>Kumar</v>
      </c>
      <c r="J12" s="25" t="str">
        <f>_xlfn.CONCAT(Table1[[#This Row],[Name correction]]," ",Table1[[#This Row],[name correction 2]])</f>
        <v>Rohan Kumar</v>
      </c>
      <c r="K12" s="34" t="str">
        <f>LOWER(Table1[[#This Row],[Email Address]])</f>
        <v>rohankumar@gmail.com</v>
      </c>
      <c r="L12" s="34" t="str">
        <f>PROPER(Table1[[#This Row],[City]])</f>
        <v>Lucknow</v>
      </c>
      <c r="M12" s="34" t="str">
        <f>UPPER(Table1[[#This Row],[State]])</f>
        <v>UTTAR PRADESH</v>
      </c>
      <c r="N12" s="34" t="str">
        <f>LEFT(Table1[[#This Row],[Product Code]],3)</f>
        <v>MOU</v>
      </c>
      <c r="O12" s="34" t="str">
        <f>RIGHT(Table1[[#This Row],[Product Code]],3)</f>
        <v>011</v>
      </c>
      <c r="P12" s="34" t="str">
        <f>MID(Table1[[#This Row],[Product Code]],5,3)</f>
        <v>201</v>
      </c>
      <c r="Q12" s="34">
        <f>LEN(Table1[[#This Row],[joining]])</f>
        <v>11</v>
      </c>
    </row>
    <row r="13" spans="1:17" ht="14.25" customHeight="1" x14ac:dyDescent="0.3">
      <c r="A13" s="25" t="s">
        <v>272</v>
      </c>
      <c r="B13" s="25" t="s">
        <v>216</v>
      </c>
      <c r="C13" s="25" t="s">
        <v>217</v>
      </c>
      <c r="D13" s="27" t="s">
        <v>218</v>
      </c>
      <c r="E13" s="25" t="s">
        <v>219</v>
      </c>
      <c r="F13" s="25" t="s">
        <v>220</v>
      </c>
      <c r="G13" s="25" t="s">
        <v>221</v>
      </c>
      <c r="H13" s="25" t="str">
        <f>PROPER(Table1[[#This Row],[First Name]])</f>
        <v>Fatima</v>
      </c>
      <c r="I13" s="25" t="str">
        <f>PROPER(TRIM(Table1[[#This Row],[Last Name]]))</f>
        <v>Khan</v>
      </c>
      <c r="J13" s="25" t="str">
        <f>_xlfn.CONCAT(Table1[[#This Row],[Name correction]]," ",Table1[[#This Row],[name correction 2]])</f>
        <v>Fatima Khan</v>
      </c>
      <c r="K13" s="34" t="str">
        <f>LOWER(Table1[[#This Row],[Email Address]])</f>
        <v>fatima.khan@yahoo.com</v>
      </c>
      <c r="L13" s="34" t="str">
        <f>PROPER(Table1[[#This Row],[City]])</f>
        <v>Jaipur</v>
      </c>
      <c r="M13" s="34" t="str">
        <f>UPPER(Table1[[#This Row],[State]])</f>
        <v>RAJASTHAN</v>
      </c>
      <c r="N13" s="34" t="str">
        <f>LEFT(Table1[[#This Row],[Product Code]],3)</f>
        <v>CHG</v>
      </c>
      <c r="O13" s="34" t="str">
        <f>RIGHT(Table1[[#This Row],[Product Code]],3)</f>
        <v>012</v>
      </c>
      <c r="P13" s="34" t="str">
        <f>MID(Table1[[#This Row],[Product Code]],5,3)</f>
        <v>065</v>
      </c>
      <c r="Q13" s="34">
        <f>LEN(Table1[[#This Row],[joining]])</f>
        <v>11</v>
      </c>
    </row>
    <row r="14" spans="1:17" ht="14.25" customHeight="1" x14ac:dyDescent="0.3">
      <c r="A14" s="25" t="s">
        <v>273</v>
      </c>
      <c r="B14" s="25" t="s">
        <v>222</v>
      </c>
      <c r="C14" s="25" t="s">
        <v>223</v>
      </c>
      <c r="D14" s="27" t="s">
        <v>224</v>
      </c>
      <c r="E14" s="25" t="s">
        <v>225</v>
      </c>
      <c r="F14" s="25" t="s">
        <v>169</v>
      </c>
      <c r="G14" s="25" t="s">
        <v>226</v>
      </c>
      <c r="H14" s="25" t="str">
        <f>PROPER(Table1[[#This Row],[First Name]])</f>
        <v>Vivek</v>
      </c>
      <c r="I14" s="25" t="str">
        <f>PROPER(TRIM(Table1[[#This Row],[Last Name]]))</f>
        <v>R</v>
      </c>
      <c r="J14" s="25" t="str">
        <f>_xlfn.CONCAT(Table1[[#This Row],[Name correction]]," ",Table1[[#This Row],[name correction 2]])</f>
        <v>Vivek R</v>
      </c>
      <c r="K14" s="34" t="str">
        <f>LOWER(Table1[[#This Row],[Email Address]])</f>
        <v>vivek.r@gmail.com</v>
      </c>
      <c r="L14" s="34" t="str">
        <f>PROPER(Table1[[#This Row],[City]])</f>
        <v>Mysuru</v>
      </c>
      <c r="M14" s="34" t="str">
        <f>UPPER(Table1[[#This Row],[State]])</f>
        <v>KARNATAKA</v>
      </c>
      <c r="N14" s="34" t="str">
        <f>LEFT(Table1[[#This Row],[Product Code]],3)</f>
        <v>CAB</v>
      </c>
      <c r="O14" s="34" t="str">
        <f>RIGHT(Table1[[#This Row],[Product Code]],3)</f>
        <v>013</v>
      </c>
      <c r="P14" s="34" t="str">
        <f>MID(Table1[[#This Row],[Product Code]],5,3)</f>
        <v>108</v>
      </c>
      <c r="Q14" s="34">
        <f>LEN(Table1[[#This Row],[joining]])</f>
        <v>7</v>
      </c>
    </row>
    <row r="15" spans="1:17" ht="14.25" customHeight="1" x14ac:dyDescent="0.3">
      <c r="A15" s="25" t="s">
        <v>274</v>
      </c>
      <c r="B15" s="25" t="s">
        <v>227</v>
      </c>
      <c r="C15" s="25" t="s">
        <v>228</v>
      </c>
      <c r="D15" s="27" t="s">
        <v>229</v>
      </c>
      <c r="E15" s="25" t="s">
        <v>230</v>
      </c>
      <c r="F15" s="25" t="s">
        <v>156</v>
      </c>
      <c r="G15" s="25" t="s">
        <v>231</v>
      </c>
      <c r="H15" s="25" t="str">
        <f>PROPER(Table1[[#This Row],[First Name]])</f>
        <v>Anthony</v>
      </c>
      <c r="I15" s="25" t="str">
        <f>PROPER(TRIM(Table1[[#This Row],[Last Name]]))</f>
        <v>Thomas</v>
      </c>
      <c r="J15" s="25" t="str">
        <f>_xlfn.CONCAT(Table1[[#This Row],[Name correction]]," ",Table1[[#This Row],[name correction 2]])</f>
        <v>Anthony Thomas</v>
      </c>
      <c r="K15" s="34" t="str">
        <f>LOWER(Table1[[#This Row],[Email Address]])</f>
        <v>anthony.t@gmail.com</v>
      </c>
      <c r="L15" s="34" t="str">
        <f>PROPER(Table1[[#This Row],[City]])</f>
        <v>Kozhikode</v>
      </c>
      <c r="M15" s="34" t="str">
        <f>UPPER(Table1[[#This Row],[State]])</f>
        <v>KERALA</v>
      </c>
      <c r="N15" s="34" t="str">
        <f>LEFT(Table1[[#This Row],[Product Code]],3)</f>
        <v>BAG</v>
      </c>
      <c r="O15" s="34" t="str">
        <f>RIGHT(Table1[[#This Row],[Product Code]],3)</f>
        <v>014</v>
      </c>
      <c r="P15" s="34" t="str">
        <f>MID(Table1[[#This Row],[Product Code]],5,3)</f>
        <v>501</v>
      </c>
      <c r="Q15" s="34">
        <f>LEN(Table1[[#This Row],[joining]])</f>
        <v>14</v>
      </c>
    </row>
    <row r="16" spans="1:17" ht="14.25" customHeight="1" x14ac:dyDescent="0.3">
      <c r="A16" s="25" t="s">
        <v>275</v>
      </c>
      <c r="B16" s="25" t="s">
        <v>232</v>
      </c>
      <c r="C16" s="25" t="s">
        <v>233</v>
      </c>
      <c r="D16" s="27" t="s">
        <v>234</v>
      </c>
      <c r="E16" s="25" t="s">
        <v>235</v>
      </c>
      <c r="F16" s="25" t="s">
        <v>291</v>
      </c>
      <c r="G16" s="25" t="s">
        <v>236</v>
      </c>
      <c r="H16" s="25" t="str">
        <f>PROPER(Table1[[#This Row],[First Name]])</f>
        <v>Meera</v>
      </c>
      <c r="I16" s="25" t="str">
        <f>PROPER(TRIM(Table1[[#This Row],[Last Name]]))</f>
        <v>Iyer</v>
      </c>
      <c r="J16" s="25" t="str">
        <f>_xlfn.CONCAT(Table1[[#This Row],[Name correction]]," ",Table1[[#This Row],[name correction 2]])</f>
        <v>Meera Iyer</v>
      </c>
      <c r="K16" s="34" t="str">
        <f>LOWER(Table1[[#This Row],[Email Address]])</f>
        <v>meera.iyer@outlook.com</v>
      </c>
      <c r="L16" s="34" t="str">
        <f>PROPER(Table1[[#This Row],[City]])</f>
        <v>Coimbatore</v>
      </c>
      <c r="M16" s="34" t="str">
        <f>UPPER(Table1[[#This Row],[State]])</f>
        <v>TAMILNADU</v>
      </c>
      <c r="N16" s="34" t="str">
        <f>LEFT(Table1[[#This Row],[Product Code]],3)</f>
        <v>EAR</v>
      </c>
      <c r="O16" s="34" t="str">
        <f>RIGHT(Table1[[#This Row],[Product Code]],3)</f>
        <v>015</v>
      </c>
      <c r="P16" s="34" t="str">
        <f>MID(Table1[[#This Row],[Product Code]],5,3)</f>
        <v>209</v>
      </c>
      <c r="Q16" s="34">
        <f>LEN(Table1[[#This Row],[joining]])</f>
        <v>10</v>
      </c>
    </row>
    <row r="17" spans="1:17" ht="14.25" customHeight="1" x14ac:dyDescent="0.3">
      <c r="A17" s="25" t="s">
        <v>276</v>
      </c>
      <c r="B17" s="25" t="s">
        <v>237</v>
      </c>
      <c r="C17" s="25" t="s">
        <v>238</v>
      </c>
      <c r="D17" s="27" t="s">
        <v>239</v>
      </c>
      <c r="E17" s="25" t="s">
        <v>240</v>
      </c>
      <c r="F17" s="25" t="s">
        <v>208</v>
      </c>
      <c r="G17" s="25" t="s">
        <v>241</v>
      </c>
      <c r="H17" s="25" t="str">
        <f>PROPER(Table1[[#This Row],[First Name]])</f>
        <v>Sanjay</v>
      </c>
      <c r="I17" s="25" t="str">
        <f>PROPER(TRIM(Table1[[#This Row],[Last Name]]))</f>
        <v>Gupta</v>
      </c>
      <c r="J17" s="25" t="str">
        <f>_xlfn.CONCAT(Table1[[#This Row],[Name correction]]," ",Table1[[#This Row],[name correction 2]])</f>
        <v>Sanjay Gupta</v>
      </c>
      <c r="K17" s="34" t="str">
        <f>LOWER(Table1[[#This Row],[Email Address]])</f>
        <v>sanjay.gupta@gmail.com</v>
      </c>
      <c r="L17" s="34" t="str">
        <f>PROPER(Table1[[#This Row],[City]])</f>
        <v>Surat</v>
      </c>
      <c r="M17" s="34" t="str">
        <f>UPPER(Table1[[#This Row],[State]])</f>
        <v>GUJARAT</v>
      </c>
      <c r="N17" s="34" t="str">
        <f>LEFT(Table1[[#This Row],[Product Code]],3)</f>
        <v>MIC</v>
      </c>
      <c r="O17" s="34" t="str">
        <f>RIGHT(Table1[[#This Row],[Product Code]],3)</f>
        <v>016</v>
      </c>
      <c r="P17" s="34" t="str">
        <f>MID(Table1[[#This Row],[Product Code]],5,3)</f>
        <v>310</v>
      </c>
      <c r="Q17" s="34">
        <f>LEN(Table1[[#This Row],[joining]])</f>
        <v>12</v>
      </c>
    </row>
    <row r="18" spans="1:17" ht="14.25" customHeight="1" x14ac:dyDescent="0.3">
      <c r="A18" s="25" t="s">
        <v>277</v>
      </c>
      <c r="B18" s="25" t="s">
        <v>242</v>
      </c>
      <c r="C18" s="25" t="s">
        <v>243</v>
      </c>
      <c r="D18" s="27" t="s">
        <v>244</v>
      </c>
      <c r="E18" s="25" t="s">
        <v>245</v>
      </c>
      <c r="F18" s="25" t="s">
        <v>246</v>
      </c>
      <c r="G18" s="25" t="s">
        <v>247</v>
      </c>
      <c r="H18" s="25" t="str">
        <f>PROPER(Table1[[#This Row],[First Name]])</f>
        <v>Pooja</v>
      </c>
      <c r="I18" s="25" t="str">
        <f>PROPER(TRIM(Table1[[#This Row],[Last Name]]))</f>
        <v>Singh</v>
      </c>
      <c r="J18" s="25" t="str">
        <f>_xlfn.CONCAT(Table1[[#This Row],[Name correction]]," ",Table1[[#This Row],[name correction 2]])</f>
        <v>Pooja Singh</v>
      </c>
      <c r="K18" s="34" t="str">
        <f>LOWER(Table1[[#This Row],[Email Address]])</f>
        <v>pooja.singh@yahoo.com</v>
      </c>
      <c r="L18" s="34" t="str">
        <f>PROPER(Table1[[#This Row],[City]])</f>
        <v>Bhopal</v>
      </c>
      <c r="M18" s="34" t="str">
        <f>UPPER(Table1[[#This Row],[State]])</f>
        <v>MADHYA PRADESH</v>
      </c>
      <c r="N18" s="34" t="str">
        <f>LEFT(Table1[[#This Row],[Product Code]],3)</f>
        <v>HUB</v>
      </c>
      <c r="O18" s="34" t="str">
        <f>RIGHT(Table1[[#This Row],[Product Code]],3)</f>
        <v>017</v>
      </c>
      <c r="P18" s="34" t="str">
        <f>MID(Table1[[#This Row],[Product Code]],5,3)</f>
        <v>404</v>
      </c>
      <c r="Q18" s="34">
        <f>LEN(Table1[[#This Row],[joining]])</f>
        <v>11</v>
      </c>
    </row>
    <row r="19" spans="1:17" ht="14.25" customHeight="1" x14ac:dyDescent="0.3">
      <c r="A19" s="25" t="s">
        <v>278</v>
      </c>
      <c r="B19" s="25" t="s">
        <v>248</v>
      </c>
      <c r="C19" s="25" t="s">
        <v>249</v>
      </c>
      <c r="D19" s="27" t="s">
        <v>250</v>
      </c>
      <c r="E19" s="25" t="s">
        <v>251</v>
      </c>
      <c r="F19" s="25" t="s">
        <v>251</v>
      </c>
      <c r="G19" s="25" t="s">
        <v>252</v>
      </c>
      <c r="H19" s="25" t="str">
        <f>PROPER(Table1[[#This Row],[First Name]])</f>
        <v>Kevin</v>
      </c>
      <c r="I19" s="25" t="str">
        <f>PROPER(TRIM(Table1[[#This Row],[Last Name]]))</f>
        <v>George</v>
      </c>
      <c r="J19" s="25" t="str">
        <f>_xlfn.CONCAT(Table1[[#This Row],[Name correction]]," ",Table1[[#This Row],[name correction 2]])</f>
        <v>Kevin George</v>
      </c>
      <c r="K19" s="34" t="str">
        <f>LOWER(Table1[[#This Row],[Email Address]])</f>
        <v>kevin.george@gmail.com</v>
      </c>
      <c r="L19" s="34" t="str">
        <f>PROPER(Table1[[#This Row],[City]])</f>
        <v>Goa</v>
      </c>
      <c r="M19" s="34" t="str">
        <f>UPPER(Table1[[#This Row],[State]])</f>
        <v>GOA</v>
      </c>
      <c r="N19" s="34" t="str">
        <f>LEFT(Table1[[#This Row],[Product Code]],3)</f>
        <v>WBC</v>
      </c>
      <c r="O19" s="34" t="str">
        <f>RIGHT(Table1[[#This Row],[Product Code]],3)</f>
        <v>018</v>
      </c>
      <c r="P19" s="34" t="str">
        <f>MID(Table1[[#This Row],[Product Code]],5,3)</f>
        <v>108</v>
      </c>
      <c r="Q19" s="34">
        <f>LEN(Table1[[#This Row],[joining]])</f>
        <v>12</v>
      </c>
    </row>
    <row r="20" spans="1:17" ht="14.25" customHeight="1" x14ac:dyDescent="0.3">
      <c r="A20" s="25" t="s">
        <v>279</v>
      </c>
      <c r="B20" s="25" t="s">
        <v>253</v>
      </c>
      <c r="C20" s="25" t="s">
        <v>254</v>
      </c>
      <c r="D20" s="26" t="s">
        <v>255</v>
      </c>
      <c r="E20" s="25" t="s">
        <v>256</v>
      </c>
      <c r="F20" s="25" t="s">
        <v>291</v>
      </c>
      <c r="G20" s="25" t="s">
        <v>257</v>
      </c>
      <c r="H20" s="25" t="str">
        <f>PROPER(Table1[[#This Row],[First Name]])</f>
        <v>Lakshmi</v>
      </c>
      <c r="I20" s="25" t="str">
        <f>PROPER(TRIM(Table1[[#This Row],[Last Name]]))</f>
        <v>P</v>
      </c>
      <c r="J20" s="25" t="str">
        <f>_xlfn.CONCAT(Table1[[#This Row],[Name correction]]," ",Table1[[#This Row],[name correction 2]])</f>
        <v>Lakshmi P</v>
      </c>
      <c r="K20" s="34" t="str">
        <f>LOWER(Table1[[#This Row],[Email Address]])</f>
        <v>lakshmi@gmail.com</v>
      </c>
      <c r="L20" s="34" t="str">
        <f>PROPER(Table1[[#This Row],[City]])</f>
        <v>Madurai</v>
      </c>
      <c r="M20" s="34" t="str">
        <f>UPPER(Table1[[#This Row],[State]])</f>
        <v>TAMILNADU</v>
      </c>
      <c r="N20" s="34" t="str">
        <f>LEFT(Table1[[#This Row],[Product Code]],3)</f>
        <v>CPU</v>
      </c>
      <c r="O20" s="34" t="str">
        <f>RIGHT(Table1[[#This Row],[Product Code]],3)</f>
        <v>019</v>
      </c>
      <c r="P20" s="34" t="str">
        <f>MID(Table1[[#This Row],[Product Code]],5,3)</f>
        <v>701</v>
      </c>
      <c r="Q20" s="34">
        <f>LEN(Table1[[#This Row],[joining]])</f>
        <v>9</v>
      </c>
    </row>
    <row r="21" spans="1:17" ht="14.25" customHeight="1" x14ac:dyDescent="0.3">
      <c r="A21" s="25" t="s">
        <v>280</v>
      </c>
      <c r="B21" s="25" t="s">
        <v>258</v>
      </c>
      <c r="C21" s="25" t="s">
        <v>259</v>
      </c>
      <c r="D21" s="27" t="s">
        <v>260</v>
      </c>
      <c r="E21" s="25" t="s">
        <v>261</v>
      </c>
      <c r="F21" s="25" t="s">
        <v>262</v>
      </c>
      <c r="G21" s="25" t="s">
        <v>263</v>
      </c>
      <c r="H21" s="25" t="str">
        <f>PROPER(Table1[[#This Row],[First Name]])</f>
        <v>Nikhil</v>
      </c>
      <c r="I21" s="25" t="str">
        <f>PROPER(TRIM(Table1[[#This Row],[Last Name]]))</f>
        <v>Verma</v>
      </c>
      <c r="J21" s="25" t="str">
        <f>_xlfn.CONCAT(Table1[[#This Row],[Name correction]]," ",Table1[[#This Row],[name correction 2]])</f>
        <v>Nikhil Verma</v>
      </c>
      <c r="K21" s="34" t="str">
        <f>LOWER(Table1[[#This Row],[Email Address]])</f>
        <v>nikhil.verma@hotmail.com</v>
      </c>
      <c r="L21" s="34" t="str">
        <f>PROPER(Table1[[#This Row],[City]])</f>
        <v>Patna</v>
      </c>
      <c r="M21" s="34" t="str">
        <f>UPPER(Table1[[#This Row],[State]])</f>
        <v>BIHAR</v>
      </c>
      <c r="N21" s="34" t="str">
        <f>LEFT(Table1[[#This Row],[Product Code]],3)</f>
        <v>RAM</v>
      </c>
      <c r="O21" s="34" t="str">
        <f>RIGHT(Table1[[#This Row],[Product Code]],3)</f>
        <v>020</v>
      </c>
      <c r="P21" s="34" t="str">
        <f>MID(Table1[[#This Row],[Product Code]],5,3)</f>
        <v>016</v>
      </c>
      <c r="Q21" s="34">
        <f>LEN(Table1[[#This Row],[joining]])</f>
        <v>12</v>
      </c>
    </row>
    <row r="22" spans="1:17" ht="14.25" customHeight="1" x14ac:dyDescent="0.3"/>
    <row r="23" spans="1:17" ht="14.25" customHeight="1" x14ac:dyDescent="0.3"/>
    <row r="24" spans="1:17" ht="14.25" customHeight="1" x14ac:dyDescent="0.3"/>
    <row r="25" spans="1:17" ht="14.25" customHeight="1" x14ac:dyDescent="0.3"/>
    <row r="26" spans="1:17" ht="14.25" customHeight="1" x14ac:dyDescent="0.3"/>
    <row r="27" spans="1:17" ht="14.25" customHeight="1" x14ac:dyDescent="0.3"/>
    <row r="28" spans="1:17" ht="14.25" customHeight="1" x14ac:dyDescent="0.3"/>
    <row r="29" spans="1:17" ht="14.25" customHeight="1" x14ac:dyDescent="0.3"/>
    <row r="30" spans="1:17" ht="14.25" customHeight="1" x14ac:dyDescent="0.3"/>
    <row r="31" spans="1:17" ht="14.25" customHeight="1" x14ac:dyDescent="0.3"/>
    <row r="32" spans="1:17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honeticPr fontId="15" type="noConversion"/>
  <hyperlinks>
    <hyperlink ref="D2" r:id="rId1" xr:uid="{00000000-0004-0000-0300-000000000000}"/>
    <hyperlink ref="D3" r:id="rId2" xr:uid="{00000000-0004-0000-0300-000001000000}"/>
    <hyperlink ref="D4" r:id="rId3" xr:uid="{00000000-0004-0000-0300-000002000000}"/>
    <hyperlink ref="D5" r:id="rId4" xr:uid="{00000000-0004-0000-0300-000003000000}"/>
    <hyperlink ref="D6" r:id="rId5" xr:uid="{00000000-0004-0000-0300-000004000000}"/>
    <hyperlink ref="D7" r:id="rId6" xr:uid="{00000000-0004-0000-0300-000005000000}"/>
    <hyperlink ref="D8" r:id="rId7" xr:uid="{00000000-0004-0000-0300-000006000000}"/>
    <hyperlink ref="D9" r:id="rId8" xr:uid="{00000000-0004-0000-0300-000007000000}"/>
    <hyperlink ref="D10" r:id="rId9" xr:uid="{00000000-0004-0000-0300-000008000000}"/>
    <hyperlink ref="D11" r:id="rId10" xr:uid="{00000000-0004-0000-0300-000009000000}"/>
    <hyperlink ref="D12" r:id="rId11" xr:uid="{00000000-0004-0000-0300-00000A000000}"/>
    <hyperlink ref="D13" r:id="rId12" xr:uid="{00000000-0004-0000-0300-00000B000000}"/>
    <hyperlink ref="D14" r:id="rId13" xr:uid="{00000000-0004-0000-0300-00000C000000}"/>
    <hyperlink ref="D15" r:id="rId14" xr:uid="{00000000-0004-0000-0300-00000D000000}"/>
    <hyperlink ref="D16" r:id="rId15" xr:uid="{00000000-0004-0000-0300-00000E000000}"/>
    <hyperlink ref="D17" r:id="rId16" xr:uid="{00000000-0004-0000-0300-00000F000000}"/>
    <hyperlink ref="D18" r:id="rId17" xr:uid="{00000000-0004-0000-0300-000010000000}"/>
    <hyperlink ref="D19" r:id="rId18" xr:uid="{00000000-0004-0000-0300-000011000000}"/>
    <hyperlink ref="D20" r:id="rId19" xr:uid="{00000000-0004-0000-0300-000012000000}"/>
    <hyperlink ref="D21" r:id="rId20" xr:uid="{00000000-0004-0000-0300-000013000000}"/>
  </hyperlinks>
  <pageMargins left="0.7" right="0.7" top="0.75" bottom="0.75" header="0" footer="0"/>
  <pageSetup orientation="landscape"/>
  <tableParts count="1">
    <tablePart r:id="rId2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Notes - Text Functions</vt:lpstr>
      <vt:lpstr>Examples - Text Functions</vt:lpstr>
      <vt:lpstr>Tasks - Text Functions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ayshanasninasni@gmail.com</cp:lastModifiedBy>
  <dcterms:created xsi:type="dcterms:W3CDTF">2026-06-30T11:37:59Z</dcterms:created>
  <dcterms:modified xsi:type="dcterms:W3CDTF">2026-08-19T10:03:31Z</dcterms:modified>
</cp:coreProperties>
</file>
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423cf5ec3f6159c/Documents/"/>
    </mc:Choice>
  </mc:AlternateContent>
  <xr:revisionPtr revIDLastSave="0" documentId="8_{46FD5672-528E-466A-ADD9-8A4BB20A237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ASK" sheetId="1" r:id="rId1"/>
    <sheet name="Sales" sheetId="2" r:id="rId2"/>
    <sheet name="Returns" sheetId="3" r:id="rId3"/>
    <sheet name="FXRa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JFJLuO1Ez6hCT8dkXmgUzxFjx4bmpkBTJHCU31s60lA="/>
    </ext>
  </extLst>
</workbook>
</file>

<file path=xl/calcChain.xml><?xml version="1.0" encoding="utf-8"?>
<calcChain xmlns="http://schemas.openxmlformats.org/spreadsheetml/2006/main">
  <c r="R8" i="3" l="1"/>
  <c r="G2" i="3"/>
  <c r="H2" i="3" s="1"/>
  <c r="G3" i="3"/>
  <c r="H3" i="3" s="1"/>
  <c r="G4" i="3"/>
  <c r="H4" i="3" s="1"/>
  <c r="G5" i="3"/>
  <c r="H5" i="3" s="1"/>
  <c r="G6" i="3"/>
  <c r="H6" i="3" s="1"/>
  <c r="G7" i="3"/>
  <c r="H7" i="3" s="1"/>
  <c r="G8" i="3"/>
  <c r="H8" i="3" s="1"/>
  <c r="G9" i="3"/>
  <c r="H9" i="3" s="1"/>
  <c r="G10" i="3"/>
  <c r="H10" i="3" s="1"/>
  <c r="G11" i="3"/>
  <c r="H11" i="3" s="1"/>
  <c r="G12" i="3"/>
  <c r="H12" i="3" s="1"/>
  <c r="G13" i="3"/>
  <c r="H13" i="3" s="1"/>
  <c r="G14" i="3"/>
  <c r="H14" i="3" s="1"/>
  <c r="G15" i="3"/>
  <c r="H15" i="3" s="1"/>
  <c r="G16" i="3"/>
  <c r="H16" i="3" s="1"/>
  <c r="G17" i="3"/>
  <c r="H17" i="3" s="1"/>
  <c r="G18" i="3"/>
  <c r="H18" i="3" s="1"/>
  <c r="G19" i="3"/>
  <c r="H19" i="3" s="1"/>
  <c r="G20" i="3"/>
  <c r="H20" i="3" s="1"/>
  <c r="G21" i="3"/>
  <c r="H21" i="3" s="1"/>
  <c r="G22" i="3"/>
  <c r="H22" i="3" s="1"/>
  <c r="G23" i="3"/>
  <c r="H23" i="3" s="1"/>
  <c r="G24" i="3"/>
  <c r="H24" i="3" s="1"/>
  <c r="G25" i="3"/>
  <c r="H25" i="3" s="1"/>
  <c r="G26" i="3"/>
  <c r="H26" i="3" s="1"/>
  <c r="G27" i="3"/>
  <c r="H27" i="3" s="1"/>
  <c r="G28" i="3"/>
  <c r="H28" i="3" s="1"/>
  <c r="G29" i="3"/>
  <c r="H29" i="3" s="1"/>
  <c r="G30" i="3"/>
  <c r="H30" i="3" s="1"/>
  <c r="G31" i="3"/>
  <c r="H31" i="3" s="1"/>
  <c r="G32" i="3"/>
  <c r="H32" i="3" s="1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R4" i="3" l="1"/>
  <c r="R5" i="3"/>
  <c r="M3" i="3"/>
  <c r="M11" i="3"/>
  <c r="R3" i="3"/>
  <c r="R14" i="3"/>
  <c r="R13" i="3"/>
  <c r="M5" i="3"/>
  <c r="R6" i="3"/>
  <c r="M12" i="3"/>
  <c r="M13" i="3"/>
  <c r="R7" i="3"/>
  <c r="M9" i="3"/>
  <c r="M4" i="3"/>
  <c r="R10" i="3"/>
  <c r="R9" i="3"/>
  <c r="M7" i="3"/>
  <c r="R11" i="3"/>
  <c r="M6" i="3"/>
  <c r="M14" i="3"/>
  <c r="M10" i="3"/>
  <c r="R12" i="3"/>
  <c r="M2" i="3"/>
  <c r="M8" i="3"/>
  <c r="R2" i="3"/>
  <c r="K2" i="3" a="1"/>
  <c r="K2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<sst xmlns="http://schemas.openxmlformats.org/spreadsheetml/2006/main" count="774" uniqueCount="365">
  <si>
    <t>ReturnID</t>
  </si>
  <si>
    <t xml:space="preserve">Q1. Rank the top customers by net returns this year, in INR. </t>
  </si>
  <si>
    <t>Currency</t>
  </si>
  <si>
    <t>TransactionID</t>
  </si>
  <si>
    <t>CustomerName</t>
  </si>
  <si>
    <t>Date</t>
  </si>
  <si>
    <t>RateToINR</t>
  </si>
  <si>
    <t>Region</t>
  </si>
  <si>
    <t>INR</t>
  </si>
  <si>
    <t>ReturnDate</t>
  </si>
  <si>
    <t>USD</t>
  </si>
  <si>
    <t>ReturnAmount</t>
  </si>
  <si>
    <t>RET5001</t>
  </si>
  <si>
    <t>TXN1051</t>
  </si>
  <si>
    <t>2025-02-14</t>
  </si>
  <si>
    <t>RET5002</t>
  </si>
  <si>
    <t>TXN1020</t>
  </si>
  <si>
    <t>2025-07-01</t>
  </si>
  <si>
    <t>RET5003</t>
  </si>
  <si>
    <t>TXN1063</t>
  </si>
  <si>
    <t>2025-02-15</t>
  </si>
  <si>
    <t>SaleAmount</t>
  </si>
  <si>
    <t>RET5004</t>
  </si>
  <si>
    <t>TXN1027</t>
  </si>
  <si>
    <t>2025-02-18</t>
  </si>
  <si>
    <t>RET5005</t>
  </si>
  <si>
    <t>TXN1078</t>
  </si>
  <si>
    <t>2025-07-07</t>
  </si>
  <si>
    <t>TXN1001</t>
  </si>
  <si>
    <t>Rohan Gupta</t>
  </si>
  <si>
    <t>RET5006</t>
  </si>
  <si>
    <t>TXN1031</t>
  </si>
  <si>
    <t>2025-03-29</t>
  </si>
  <si>
    <t>2025-02-27</t>
  </si>
  <si>
    <t>North</t>
  </si>
  <si>
    <t>RET5007</t>
  </si>
  <si>
    <t>TXN1011</t>
  </si>
  <si>
    <t>2025-09-03</t>
  </si>
  <si>
    <t>TXN1002</t>
  </si>
  <si>
    <t>RET5008</t>
  </si>
  <si>
    <t>Sneha Iyer</t>
  </si>
  <si>
    <t>TXN1089</t>
  </si>
  <si>
    <t>2025-04-04</t>
  </si>
  <si>
    <t>2025-04-25</t>
  </si>
  <si>
    <t>South</t>
  </si>
  <si>
    <t>RET5009</t>
  </si>
  <si>
    <t>TXN1137</t>
  </si>
  <si>
    <t>2025-03-15</t>
  </si>
  <si>
    <t>TXN1003</t>
  </si>
  <si>
    <t>RET5010</t>
  </si>
  <si>
    <t>TXN1110</t>
  </si>
  <si>
    <t>2025-05-07</t>
  </si>
  <si>
    <t>2025-10-07</t>
  </si>
  <si>
    <t>RET5011</t>
  </si>
  <si>
    <t>TXN1095</t>
  </si>
  <si>
    <t>2025-08-10</t>
  </si>
  <si>
    <t>TXN1004</t>
  </si>
  <si>
    <t>RET5012</t>
  </si>
  <si>
    <t>Rahul Mehta</t>
  </si>
  <si>
    <t>TXN1018</t>
  </si>
  <si>
    <t>2025-01-16</t>
  </si>
  <si>
    <t>2025-05-21</t>
  </si>
  <si>
    <t>RET5013</t>
  </si>
  <si>
    <t>TXN1130</t>
  </si>
  <si>
    <t>TXN1005</t>
  </si>
  <si>
    <t>Ananya Rao</t>
  </si>
  <si>
    <t>2025-01-14</t>
  </si>
  <si>
    <t>2025-02-10</t>
  </si>
  <si>
    <t>TXN1006</t>
  </si>
  <si>
    <t xml:space="preserve">ishita bose </t>
  </si>
  <si>
    <t>RET5014</t>
  </si>
  <si>
    <t>TXN1088</t>
  </si>
  <si>
    <t>2025-08-14</t>
  </si>
  <si>
    <t>RET5015</t>
  </si>
  <si>
    <t>TXN1007</t>
  </si>
  <si>
    <t>2025-02-04</t>
  </si>
  <si>
    <t>Karan Malhotra</t>
  </si>
  <si>
    <t>2025-01-04</t>
  </si>
  <si>
    <t>RET5016</t>
  </si>
  <si>
    <t>TXN1108</t>
  </si>
  <si>
    <t>2025-01-11</t>
  </si>
  <si>
    <t>TXN1008</t>
  </si>
  <si>
    <t>Divya Nair</t>
  </si>
  <si>
    <t>RET5017</t>
  </si>
  <si>
    <t>2025-05-23</t>
  </si>
  <si>
    <t>TXN1126</t>
  </si>
  <si>
    <t>2025-06-04</t>
  </si>
  <si>
    <t>RET5018</t>
  </si>
  <si>
    <t>TXN1028</t>
  </si>
  <si>
    <t>2025-10-05</t>
  </si>
  <si>
    <t>TXN1009</t>
  </si>
  <si>
    <t>RET5019</t>
  </si>
  <si>
    <t>Manish Chawla</t>
  </si>
  <si>
    <t>TXN1111</t>
  </si>
  <si>
    <t>2025-06-22</t>
  </si>
  <si>
    <t>2025-04-07</t>
  </si>
  <si>
    <t>RET5020</t>
  </si>
  <si>
    <t>TXN1010</t>
  </si>
  <si>
    <t>TXN1093</t>
  </si>
  <si>
    <t>priya sharma</t>
  </si>
  <si>
    <t>2025-05-01</t>
  </si>
  <si>
    <t>2025-07-03</t>
  </si>
  <si>
    <t>East</t>
  </si>
  <si>
    <t>RET5021</t>
  </si>
  <si>
    <t>TXN1118</t>
  </si>
  <si>
    <t>RET5022</t>
  </si>
  <si>
    <t>TXN1040</t>
  </si>
  <si>
    <t>2025-08-16</t>
  </si>
  <si>
    <t>Ishita Bose</t>
  </si>
  <si>
    <t>2025-08-24</t>
  </si>
  <si>
    <t>West</t>
  </si>
  <si>
    <t>RET5023</t>
  </si>
  <si>
    <t>TXN1112</t>
  </si>
  <si>
    <t>TXN1012</t>
  </si>
  <si>
    <t>RET5024</t>
  </si>
  <si>
    <t>TXN1023</t>
  </si>
  <si>
    <t>2025-05-18</t>
  </si>
  <si>
    <t>2025-07-05</t>
  </si>
  <si>
    <t>RET5025</t>
  </si>
  <si>
    <t>TXN1094</t>
  </si>
  <si>
    <t>2025-05-14</t>
  </si>
  <si>
    <t>TXN1013</t>
  </si>
  <si>
    <t>RAHUL MEHTA</t>
  </si>
  <si>
    <t>RET5026</t>
  </si>
  <si>
    <t>2025-04-27</t>
  </si>
  <si>
    <t>TXN1067</t>
  </si>
  <si>
    <t>2025-06-21</t>
  </si>
  <si>
    <t>RET5027</t>
  </si>
  <si>
    <t>TXN1124</t>
  </si>
  <si>
    <t>TXN1014</t>
  </si>
  <si>
    <t>Pooja Desai</t>
  </si>
  <si>
    <t>2025-02-21</t>
  </si>
  <si>
    <t>RET5028</t>
  </si>
  <si>
    <t>TXN1084</t>
  </si>
  <si>
    <t>2025-02-25</t>
  </si>
  <si>
    <t>TXN1015</t>
  </si>
  <si>
    <t>RET5029</t>
  </si>
  <si>
    <t>TXN1035</t>
  </si>
  <si>
    <t>2025-01-27</t>
  </si>
  <si>
    <t>2025-07-06</t>
  </si>
  <si>
    <t>RET5030</t>
  </si>
  <si>
    <t>TXN1079</t>
  </si>
  <si>
    <t>TXN1016</t>
  </si>
  <si>
    <t>2025-05-19</t>
  </si>
  <si>
    <t>2025-05-17</t>
  </si>
  <si>
    <t>RET5999</t>
  </si>
  <si>
    <t>TXN9999</t>
  </si>
  <si>
    <t>2025-08-01</t>
  </si>
  <si>
    <t>TXN1017</t>
  </si>
  <si>
    <t>Amit Verma</t>
  </si>
  <si>
    <t>2025-10-01</t>
  </si>
  <si>
    <t>Arjun Reddy</t>
  </si>
  <si>
    <t>TXN1019</t>
  </si>
  <si>
    <t>2025-01-29</t>
  </si>
  <si>
    <t>2025-06-11</t>
  </si>
  <si>
    <t>TXN1021</t>
  </si>
  <si>
    <t>2025-10-18</t>
  </si>
  <si>
    <t>TXN1022</t>
  </si>
  <si>
    <t>Neha Kapoor</t>
  </si>
  <si>
    <t>2025-07-22</t>
  </si>
  <si>
    <t>TXN1024</t>
  </si>
  <si>
    <t>2025-10-26</t>
  </si>
  <si>
    <t>TXN1025</t>
  </si>
  <si>
    <t>2025-09-18</t>
  </si>
  <si>
    <t>TXN1026</t>
  </si>
  <si>
    <t>Rahul  Mehta</t>
  </si>
  <si>
    <t>2025-02-26</t>
  </si>
  <si>
    <t>2025-02-02</t>
  </si>
  <si>
    <t>2025-09-28</t>
  </si>
  <si>
    <t>TXN1029</t>
  </si>
  <si>
    <t>2025-01-06</t>
  </si>
  <si>
    <t>TXN1030</t>
  </si>
  <si>
    <t>VIKRAM SINGH</t>
  </si>
  <si>
    <t>2025-03-22</t>
  </si>
  <si>
    <t>TXN1032</t>
  </si>
  <si>
    <t>2025-05-15</t>
  </si>
  <si>
    <t>TXN1033</t>
  </si>
  <si>
    <t>2025-09-17</t>
  </si>
  <si>
    <t>TXN1034</t>
  </si>
  <si>
    <t>2025-03-24</t>
  </si>
  <si>
    <t>2025-01-10</t>
  </si>
  <si>
    <t>TXN1036</t>
  </si>
  <si>
    <t>Siddharth Jain</t>
  </si>
  <si>
    <t>2025-06-07</t>
  </si>
  <si>
    <t>TXN1037</t>
  </si>
  <si>
    <t>TXN1038</t>
  </si>
  <si>
    <t>2025-02-05</t>
  </si>
  <si>
    <t>TXN1039</t>
  </si>
  <si>
    <t>2025-10-09</t>
  </si>
  <si>
    <t>2025-08-05</t>
  </si>
  <si>
    <t>TXN1041</t>
  </si>
  <si>
    <t>2025-04-13</t>
  </si>
  <si>
    <t>TXN1042</t>
  </si>
  <si>
    <t>2025-07-11</t>
  </si>
  <si>
    <t>TXN1043</t>
  </si>
  <si>
    <t>2025-03-03</t>
  </si>
  <si>
    <t>TXN1044</t>
  </si>
  <si>
    <t>TXN1045</t>
  </si>
  <si>
    <t>2025-02-06</t>
  </si>
  <si>
    <t>TXN1046</t>
  </si>
  <si>
    <t>2025-06-19</t>
  </si>
  <si>
    <t>TXN1047</t>
  </si>
  <si>
    <t>2025-04-20</t>
  </si>
  <si>
    <t>TXN1048</t>
  </si>
  <si>
    <t>2025-10-20</t>
  </si>
  <si>
    <t>TXN1049</t>
  </si>
  <si>
    <t>2025-07-28</t>
  </si>
  <si>
    <t>TXN1050</t>
  </si>
  <si>
    <t>2025-08-09</t>
  </si>
  <si>
    <t>2025-01-28</t>
  </si>
  <si>
    <t>TXN1052</t>
  </si>
  <si>
    <t>2025-06-23</t>
  </si>
  <si>
    <t>TXN1053</t>
  </si>
  <si>
    <t>Vikram Singh</t>
  </si>
  <si>
    <t>2025-08-18</t>
  </si>
  <si>
    <t>TXN1054</t>
  </si>
  <si>
    <t>2025-05-08</t>
  </si>
  <si>
    <t>TXN1055</t>
  </si>
  <si>
    <t>TXN1056</t>
  </si>
  <si>
    <t>2025-01-08</t>
  </si>
  <si>
    <t>TXN1057</t>
  </si>
  <si>
    <t>2025-09-04</t>
  </si>
  <si>
    <t>TXN1058</t>
  </si>
  <si>
    <t>2025-01-31</t>
  </si>
  <si>
    <t>TXN1059</t>
  </si>
  <si>
    <t>2025-05-16</t>
  </si>
  <si>
    <t>TXN1060</t>
  </si>
  <si>
    <t>2025-10-12</t>
  </si>
  <si>
    <t>TXN1061</t>
  </si>
  <si>
    <t>2025-01-30</t>
  </si>
  <si>
    <t>TXN1062</t>
  </si>
  <si>
    <t xml:space="preserve">Rahul Mehta </t>
  </si>
  <si>
    <t>2025-01-26</t>
  </si>
  <si>
    <t>2025-02-11</t>
  </si>
  <si>
    <t>TXN1064</t>
  </si>
  <si>
    <t>TXN1065</t>
  </si>
  <si>
    <t>2025-10-19</t>
  </si>
  <si>
    <t>TXN1066</t>
  </si>
  <si>
    <t>2025-06-10</t>
  </si>
  <si>
    <t>TXN1068</t>
  </si>
  <si>
    <t>2025-06-03</t>
  </si>
  <si>
    <t>TXN1069</t>
  </si>
  <si>
    <t>2025-02-07</t>
  </si>
  <si>
    <t>TXN1070</t>
  </si>
  <si>
    <t>TXN1071</t>
  </si>
  <si>
    <t>TXN1072</t>
  </si>
  <si>
    <t>2025-05-06</t>
  </si>
  <si>
    <t>TXN1073</t>
  </si>
  <si>
    <t>2025-10-06</t>
  </si>
  <si>
    <t>TXN1074</t>
  </si>
  <si>
    <t>TXN1075</t>
  </si>
  <si>
    <t>TXN1076</t>
  </si>
  <si>
    <t>TXN1077</t>
  </si>
  <si>
    <t>2025-10-11</t>
  </si>
  <si>
    <t>2025-06-25</t>
  </si>
  <si>
    <t>TXN1080</t>
  </si>
  <si>
    <t>TXN1081</t>
  </si>
  <si>
    <t>2025-05-22</t>
  </si>
  <si>
    <t>TXN1082</t>
  </si>
  <si>
    <t>2025-03-08</t>
  </si>
  <si>
    <t>TXN1083</t>
  </si>
  <si>
    <t>2025-10-10</t>
  </si>
  <si>
    <t>Priya  Sharma</t>
  </si>
  <si>
    <t>2025-02-08</t>
  </si>
  <si>
    <t>TXN1085</t>
  </si>
  <si>
    <t>2025-07-09</t>
  </si>
  <si>
    <t>TXN1086</t>
  </si>
  <si>
    <t>TXN1087</t>
  </si>
  <si>
    <t>2025-03-25</t>
  </si>
  <si>
    <t>TXN1090</t>
  </si>
  <si>
    <t>2025-04-02</t>
  </si>
  <si>
    <t>TXN1091</t>
  </si>
  <si>
    <t>TXN1092</t>
  </si>
  <si>
    <t>2025-07-24</t>
  </si>
  <si>
    <t>TXN1096</t>
  </si>
  <si>
    <t>TXN1097</t>
  </si>
  <si>
    <t>2025-10-02</t>
  </si>
  <si>
    <t>TXN1098</t>
  </si>
  <si>
    <t>Priya Sharma</t>
  </si>
  <si>
    <t>TXN1099</t>
  </si>
  <si>
    <t>2025-08-11</t>
  </si>
  <si>
    <t>TXN1100</t>
  </si>
  <si>
    <t>2025-08-12</t>
  </si>
  <si>
    <t>TXN1101</t>
  </si>
  <si>
    <t>2025-04-08</t>
  </si>
  <si>
    <t>TXN1102</t>
  </si>
  <si>
    <t>2025-01-01</t>
  </si>
  <si>
    <t>TXN1103</t>
  </si>
  <si>
    <t>TXN1104</t>
  </si>
  <si>
    <t>TXN1105</t>
  </si>
  <si>
    <t>2025-07-26</t>
  </si>
  <si>
    <t>TXN1106</t>
  </si>
  <si>
    <t>2025-08-04</t>
  </si>
  <si>
    <t>TXN1107</t>
  </si>
  <si>
    <t>2025-03-31</t>
  </si>
  <si>
    <t>TXN1109</t>
  </si>
  <si>
    <t>2025-10-24</t>
  </si>
  <si>
    <t>2025-03-28</t>
  </si>
  <si>
    <t>TXN1113</t>
  </si>
  <si>
    <t>TXN1114</t>
  </si>
  <si>
    <t>2025-03-17</t>
  </si>
  <si>
    <t>TXN1115</t>
  </si>
  <si>
    <t>TXN1116</t>
  </si>
  <si>
    <t>2025-10-22</t>
  </si>
  <si>
    <t>TXN1117</t>
  </si>
  <si>
    <t>2025-09-11</t>
  </si>
  <si>
    <t>2025-01-03</t>
  </si>
  <si>
    <t>TXN1119</t>
  </si>
  <si>
    <t>2025-04-01</t>
  </si>
  <si>
    <t>TXN1120</t>
  </si>
  <si>
    <t>2025-03-04</t>
  </si>
  <si>
    <t>TXN1121</t>
  </si>
  <si>
    <t>2025-09-29</t>
  </si>
  <si>
    <t>TXN1122</t>
  </si>
  <si>
    <t>2025-08-15</t>
  </si>
  <si>
    <t>TXN1123</t>
  </si>
  <si>
    <t>2025-08-17</t>
  </si>
  <si>
    <t>TXN1125</t>
  </si>
  <si>
    <t>2025-09-06</t>
  </si>
  <si>
    <t>2025-05-27</t>
  </si>
  <si>
    <t>TXN1127</t>
  </si>
  <si>
    <t>2025-10-04</t>
  </si>
  <si>
    <t>TXN1128</t>
  </si>
  <si>
    <t>2025-07-16</t>
  </si>
  <si>
    <t>TXN1129</t>
  </si>
  <si>
    <t>2025-02-01</t>
  </si>
  <si>
    <t>TXN1131</t>
  </si>
  <si>
    <t>2025-10-27</t>
  </si>
  <si>
    <t>TXN1132</t>
  </si>
  <si>
    <t>TXN1133</t>
  </si>
  <si>
    <t>2025-06-02</t>
  </si>
  <si>
    <t>TXN1134</t>
  </si>
  <si>
    <t>2025-08-03</t>
  </si>
  <si>
    <t>TXN1135</t>
  </si>
  <si>
    <t>TXN1136</t>
  </si>
  <si>
    <t>2025-07-27</t>
  </si>
  <si>
    <t>2025-03-07</t>
  </si>
  <si>
    <t>TXN1138</t>
  </si>
  <si>
    <t>2025-10-16</t>
  </si>
  <si>
    <t>TXN1139</t>
  </si>
  <si>
    <t>2025-03-11</t>
  </si>
  <si>
    <t>TXN1140</t>
  </si>
  <si>
    <t>2025-07-14</t>
  </si>
  <si>
    <t>TXN1141</t>
  </si>
  <si>
    <t>TXN1142</t>
  </si>
  <si>
    <t>TXN1143</t>
  </si>
  <si>
    <t>TXN1144</t>
  </si>
  <si>
    <t>TXN1145</t>
  </si>
  <si>
    <t>2025-01-21</t>
  </si>
  <si>
    <t>TXN1146</t>
  </si>
  <si>
    <t>TXN1147</t>
  </si>
  <si>
    <t>2025-02-28</t>
  </si>
  <si>
    <t>TXN1148</t>
  </si>
  <si>
    <t>2025-07-08</t>
  </si>
  <si>
    <t>TXN1149</t>
  </si>
  <si>
    <t>TXN1150</t>
  </si>
  <si>
    <t>2025-06-09</t>
  </si>
  <si>
    <t>currency in INR</t>
  </si>
  <si>
    <t>Customer</t>
  </si>
  <si>
    <t>Cleaned names</t>
  </si>
  <si>
    <t>Customers</t>
  </si>
  <si>
    <t>Not Found</t>
  </si>
  <si>
    <t>Customers   new</t>
  </si>
  <si>
    <t>Column1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</si>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</sst>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44" fontId="0" fillId="0" borderId="0" xfId="0" applyNumberFormat="1"/>
    <xf numFmtId="0" fontId="1" fillId="3" borderId="2" xfId="0" applyFont="1" applyFill="1" applyBorder="1"/>
    <xf numFmtId="0" fontId="1" fillId="0" borderId="2" xfId="0" applyFont="1" applyBorder="1"/>
    <xf numFmtId="0" fontId="1" fillId="3" borderId="1" xfId="0" applyFont="1" applyFill="1" applyBorder="1"/>
    <xf numFmtId="44" fontId="1" fillId="3" borderId="2" xfId="0" applyNumberFormat="1" applyFont="1" applyFill="1" applyBorder="1"/>
    <xf numFmtId="44" fontId="1" fillId="0" borderId="2" xfId="0" applyNumberFormat="1" applyFont="1" applyBorder="1"/>
    <xf numFmtId="0" fontId="4" fillId="2" borderId="0" xfId="0" applyFont="1" applyFill="1" applyBorder="1"/>
    <xf numFmtId="44" fontId="4" fillId="2" borderId="0" xfId="0" applyNumberFormat="1" applyFont="1" applyFill="1" applyBorder="1"/>
    <xf numFmtId="0" fontId="1" fillId="3" borderId="0" xfId="0" applyFont="1" applyFill="1" applyBorder="1"/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 &quot;₹&quot;\ * #,##0.00_ ;_ &quot;₹&quot;\ * \-#,##0.00_ ;_ &quot;₹&quot;\ * &quot;-&quot;??_ ;_ @_ 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 &quot;₹&quot;\ * #,##0.00_ ;_ &quot;₹&quot;\ * \-#,##0.00_ ;_ &quot;₹&quot;\ * &quot;-&quot;??_ ;_ @_ 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299414-2740-4F6B-BCF8-B3BE7C4FCE89}" name="Table1" displayName="Table1" ref="A1:E151" totalsRowShown="0" headerRowDxfId="17" dataDxfId="18">
  <autoFilter ref="A1:E151" xr:uid="{31299414-2740-4F6B-BCF8-B3BE7C4FCE89}"/>
  <tableColumns count="5">
    <tableColumn id="1" xr3:uid="{119D0EEB-D8DE-476C-83B6-1F168D71D07D}" name="TransactionID" dataDxfId="23"/>
    <tableColumn id="2" xr3:uid="{4AD4504A-717E-451D-8287-A05A0F581950}" name="CustomerName" dataDxfId="22"/>
    <tableColumn id="3" xr3:uid="{291878D7-F47C-4C39-AC82-D1887216F45A}" name="Date" dataDxfId="21"/>
    <tableColumn id="4" xr3:uid="{EDBF6ADD-E8FF-4A73-93BB-E34A44820C96}" name="Region" dataDxfId="20"/>
    <tableColumn id="5" xr3:uid="{1BE03AF7-3B9A-4892-8C14-70A353F1081F}" name="SaleAmount" dataDxf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849EA0-7420-47E1-83E7-6AD58DA5F016}" name="Table2" displayName="Table2" ref="A1:H32" totalsRowShown="0" headerRowDxfId="10" dataDxfId="11">
  <autoFilter ref="A1:H32" xr:uid="{96849EA0-7420-47E1-83E7-6AD58DA5F016}"/>
  <tableColumns count="8">
    <tableColumn id="1" xr3:uid="{7B17616C-E096-45DA-A3C2-215ED7E3C8F0}" name="ReturnID" dataDxfId="16"/>
    <tableColumn id="2" xr3:uid="{B10BE440-F304-481D-A58A-12F3898C9CC6}" name="TransactionID" dataDxfId="15"/>
    <tableColumn id="3" xr3:uid="{2177CBD2-8BD9-4530-876E-DF11240140E3}" name="ReturnDate" dataDxfId="14"/>
    <tableColumn id="4" xr3:uid="{C11FC1E2-1019-4648-BFC6-809309602089}" name="ReturnAmount" dataDxfId="13"/>
    <tableColumn id="5" xr3:uid="{7057364D-8C3D-452E-89CE-8027CB4E05B5}" name="Currency" dataDxfId="12"/>
    <tableColumn id="6" xr3:uid="{843543ED-E5EA-4CB2-8BD2-06EA5AC1941A}" name="currency in INR" dataDxfId="9">
      <calculatedColumnFormula>IF(Table2[[#This Row],[Currency]]="INR",Table2[[#This Row],[ReturnAmount]],Table2[[#This Row],[ReturnAmount]]*FXRates!$B$3)</calculatedColumnFormula>
    </tableColumn>
    <tableColumn id="7" xr3:uid="{CE759F54-FBC0-49C6-8C4F-15FBD5BBD52D}" name="Customer" dataDxfId="8">
      <calculatedColumnFormula>_xlfn.XLOOKUP(Table2[[#This Row],[TransactionID]],Table1[TransactionID],Table1[CustomerName],"NOT FOUND")</calculatedColumnFormula>
    </tableColumn>
    <tableColumn id="8" xr3:uid="{B1CDB01B-8D62-40F3-AA14-DEDBF058A9C6}" name="Cleaned names" dataDxfId="7">
      <calculatedColumnFormula>TRIM(PROPER(Table2[[#This Row],[Customer]]))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AA912EF-0E71-4AA4-BF1D-7E8542644D12}" name="Table5" displayName="Table5" ref="L1:M14" totalsRowShown="0" tableBorderDxfId="6">
  <autoFilter ref="L1:M14" xr:uid="{6AA912EF-0E71-4AA4-BF1D-7E8542644D12}"/>
  <sortState xmlns:xlrd2="http://schemas.microsoft.com/office/spreadsheetml/2017/richdata2" ref="L2:M14">
    <sortCondition descending="1" ref="M1:M14"/>
  </sortState>
  <tableColumns count="2">
    <tableColumn id="1" xr3:uid="{4441416F-A989-42F5-90F7-64C2701C8643}" name="Customers   new" dataDxfId="5"/>
    <tableColumn id="2" xr3:uid="{F5334703-4816-43EE-966F-0C1713AAC6E5}" name="Column1" dataDxfId="4">
      <calculatedColumnFormula>SUMIF(Table2[Cleaned names],L2,Table2[currency in INR])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F771FDF-0376-47DF-A94C-0DE17B523662}" name="Table57" displayName="Table57" ref="P1:R14" totalsRowShown="0" tableBorderDxfId="3">
  <autoFilter ref="P1:R14" xr:uid="{2F771FDF-0376-47DF-A94C-0DE17B523662}"/>
  <sortState xmlns:xlrd2="http://schemas.microsoft.com/office/spreadsheetml/2017/richdata2" ref="Q2:R14">
    <sortCondition descending="1" ref="R1:R14"/>
  </sortState>
  <tableColumns count="3">
    <tableColumn id="3" xr3:uid="{E5663712-3D9F-4FE2-A2B1-FF5F0B4023C7}" name="Rank" dataDxfId="0"/>
    <tableColumn id="1" xr3:uid="{107240A3-DAE9-483F-A0FF-5ACAB9B1114D}" name="Customers   new" dataDxfId="2"/>
    <tableColumn id="2" xr3:uid="{FA8F2022-123C-422C-B9EA-7654F3282A4B}" name="Column1" dataDxfId="1">
      <calculatedColumnFormula>SUMIF(Table2[Cleaned names],Q2,Table2[currency in INR])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workbookViewId="0"/>
  </sheetViews>
  <sheetFormatPr defaultColWidth="14.44140625" defaultRowHeight="15" customHeight="1" x14ac:dyDescent="0.3"/>
  <cols>
    <col min="1" max="1" width="79.44140625" customWidth="1"/>
    <col min="2" max="26" width="8.6640625" customWidth="1"/>
  </cols>
  <sheetData>
    <row r="1" spans="1:1" ht="14.25" customHeight="1" x14ac:dyDescent="0.3">
      <c r="A1" s="1" t="s">
        <v>1</v>
      </c>
    </row>
    <row r="2" spans="1:1" ht="14.25" customHeight="1" x14ac:dyDescent="0.3"/>
    <row r="3" spans="1:1" ht="14.25" customHeight="1" x14ac:dyDescent="0.3"/>
    <row r="4" spans="1:1" ht="14.25" customHeight="1" x14ac:dyDescent="0.3"/>
    <row r="5" spans="1:1" ht="14.25" customHeight="1" x14ac:dyDescent="0.3"/>
    <row r="6" spans="1:1" ht="14.25" customHeight="1" x14ac:dyDescent="0.3"/>
    <row r="7" spans="1:1" ht="14.25" customHeight="1" x14ac:dyDescent="0.3"/>
    <row r="8" spans="1:1" ht="14.25" customHeight="1" x14ac:dyDescent="0.3"/>
    <row r="9" spans="1:1" ht="14.25" customHeight="1" x14ac:dyDescent="0.3"/>
    <row r="10" spans="1:1" ht="14.25" customHeight="1" x14ac:dyDescent="0.3"/>
    <row r="11" spans="1:1" ht="14.25" customHeight="1" x14ac:dyDescent="0.3"/>
    <row r="12" spans="1:1" ht="14.25" customHeight="1" x14ac:dyDescent="0.3"/>
    <row r="13" spans="1:1" ht="14.25" customHeight="1" x14ac:dyDescent="0.3"/>
    <row r="14" spans="1:1" ht="14.25" customHeight="1" x14ac:dyDescent="0.3"/>
    <row r="15" spans="1:1" ht="14.25" customHeight="1" x14ac:dyDescent="0.3"/>
    <row r="16" spans="1:1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sqref="A1:E151"/>
    </sheetView>
  </sheetViews>
  <sheetFormatPr defaultColWidth="14.44140625" defaultRowHeight="15" customHeight="1" x14ac:dyDescent="0.3"/>
  <cols>
    <col min="1" max="1" width="16" customWidth="1"/>
    <col min="2" max="2" width="17" customWidth="1"/>
    <col min="3" max="3" width="13" customWidth="1"/>
    <col min="4" max="4" width="9" customWidth="1"/>
    <col min="5" max="5" width="13.21875" customWidth="1"/>
    <col min="6" max="26" width="8.6640625" customWidth="1"/>
  </cols>
  <sheetData>
    <row r="1" spans="1:5" ht="14.25" customHeight="1" x14ac:dyDescent="0.3">
      <c r="A1" s="2" t="s">
        <v>3</v>
      </c>
      <c r="B1" s="2" t="s">
        <v>4</v>
      </c>
      <c r="C1" s="2" t="s">
        <v>5</v>
      </c>
      <c r="D1" s="2" t="s">
        <v>7</v>
      </c>
      <c r="E1" s="2" t="s">
        <v>21</v>
      </c>
    </row>
    <row r="2" spans="1:5" ht="14.25" customHeight="1" x14ac:dyDescent="0.3">
      <c r="A2" s="1" t="s">
        <v>28</v>
      </c>
      <c r="B2" s="1" t="s">
        <v>29</v>
      </c>
      <c r="C2" s="1" t="s">
        <v>33</v>
      </c>
      <c r="D2" s="1" t="s">
        <v>34</v>
      </c>
      <c r="E2" s="1">
        <v>11252.48</v>
      </c>
    </row>
    <row r="3" spans="1:5" ht="14.25" customHeight="1" x14ac:dyDescent="0.3">
      <c r="A3" s="1" t="s">
        <v>38</v>
      </c>
      <c r="B3" s="1" t="s">
        <v>40</v>
      </c>
      <c r="C3" s="1" t="s">
        <v>43</v>
      </c>
      <c r="D3" s="1" t="s">
        <v>44</v>
      </c>
      <c r="E3" s="1">
        <v>11178.83</v>
      </c>
    </row>
    <row r="4" spans="1:5" ht="14.25" customHeight="1" x14ac:dyDescent="0.3">
      <c r="A4" s="1" t="s">
        <v>48</v>
      </c>
      <c r="B4" s="1" t="s">
        <v>29</v>
      </c>
      <c r="C4" s="1" t="s">
        <v>52</v>
      </c>
      <c r="D4" s="1" t="s">
        <v>34</v>
      </c>
      <c r="E4" s="1">
        <v>9062.14</v>
      </c>
    </row>
    <row r="5" spans="1:5" ht="14.25" customHeight="1" x14ac:dyDescent="0.3">
      <c r="A5" s="1" t="s">
        <v>56</v>
      </c>
      <c r="B5" s="1" t="s">
        <v>58</v>
      </c>
      <c r="C5" s="1" t="s">
        <v>60</v>
      </c>
      <c r="D5" s="1" t="s">
        <v>44</v>
      </c>
      <c r="E5" s="1">
        <v>3873.58</v>
      </c>
    </row>
    <row r="6" spans="1:5" ht="14.25" customHeight="1" x14ac:dyDescent="0.3">
      <c r="A6" s="1" t="s">
        <v>64</v>
      </c>
      <c r="B6" s="1" t="s">
        <v>65</v>
      </c>
      <c r="C6" s="1" t="s">
        <v>66</v>
      </c>
      <c r="D6" s="1" t="s">
        <v>44</v>
      </c>
      <c r="E6" s="1">
        <v>10882.28</v>
      </c>
    </row>
    <row r="7" spans="1:5" ht="14.25" customHeight="1" x14ac:dyDescent="0.3">
      <c r="A7" s="1" t="s">
        <v>68</v>
      </c>
      <c r="B7" s="1" t="s">
        <v>69</v>
      </c>
      <c r="C7" s="1" t="s">
        <v>52</v>
      </c>
      <c r="D7" s="1" t="s">
        <v>44</v>
      </c>
      <c r="E7" s="1">
        <v>7013.53</v>
      </c>
    </row>
    <row r="8" spans="1:5" ht="14.25" customHeight="1" x14ac:dyDescent="0.3">
      <c r="A8" s="1" t="s">
        <v>74</v>
      </c>
      <c r="B8" s="1" t="s">
        <v>76</v>
      </c>
      <c r="C8" s="1" t="s">
        <v>77</v>
      </c>
      <c r="D8" s="1" t="s">
        <v>44</v>
      </c>
      <c r="E8" s="1">
        <v>10623.02</v>
      </c>
    </row>
    <row r="9" spans="1:5" ht="14.25" customHeight="1" x14ac:dyDescent="0.3">
      <c r="A9" s="1" t="s">
        <v>81</v>
      </c>
      <c r="B9" s="1" t="s">
        <v>82</v>
      </c>
      <c r="C9" s="1" t="s">
        <v>84</v>
      </c>
      <c r="D9" s="1" t="s">
        <v>44</v>
      </c>
      <c r="E9" s="1">
        <v>3622.05</v>
      </c>
    </row>
    <row r="10" spans="1:5" ht="14.25" customHeight="1" x14ac:dyDescent="0.3">
      <c r="A10" s="1" t="s">
        <v>90</v>
      </c>
      <c r="B10" s="1" t="s">
        <v>92</v>
      </c>
      <c r="C10" s="1" t="s">
        <v>94</v>
      </c>
      <c r="D10" s="1" t="s">
        <v>34</v>
      </c>
      <c r="E10" s="1">
        <v>1844.81</v>
      </c>
    </row>
    <row r="11" spans="1:5" ht="14.25" customHeight="1" x14ac:dyDescent="0.3">
      <c r="A11" s="1" t="s">
        <v>97</v>
      </c>
      <c r="B11" s="1" t="s">
        <v>99</v>
      </c>
      <c r="C11" s="1" t="s">
        <v>101</v>
      </c>
      <c r="D11" s="1" t="s">
        <v>102</v>
      </c>
      <c r="E11" s="1">
        <v>12203.36</v>
      </c>
    </row>
    <row r="12" spans="1:5" ht="14.25" customHeight="1" x14ac:dyDescent="0.3">
      <c r="A12" s="1" t="s">
        <v>36</v>
      </c>
      <c r="B12" s="1" t="s">
        <v>108</v>
      </c>
      <c r="C12" s="1" t="s">
        <v>109</v>
      </c>
      <c r="D12" s="1" t="s">
        <v>110</v>
      </c>
      <c r="E12" s="1">
        <v>1642.6</v>
      </c>
    </row>
    <row r="13" spans="1:5" ht="14.25" customHeight="1" x14ac:dyDescent="0.3">
      <c r="A13" s="1" t="s">
        <v>113</v>
      </c>
      <c r="B13" s="1" t="s">
        <v>76</v>
      </c>
      <c r="C13" s="1" t="s">
        <v>117</v>
      </c>
      <c r="D13" s="1" t="s">
        <v>44</v>
      </c>
      <c r="E13" s="1">
        <v>10716.29</v>
      </c>
    </row>
    <row r="14" spans="1:5" ht="14.25" customHeight="1" x14ac:dyDescent="0.3">
      <c r="A14" s="1" t="s">
        <v>121</v>
      </c>
      <c r="B14" s="1" t="s">
        <v>122</v>
      </c>
      <c r="C14" s="1" t="s">
        <v>124</v>
      </c>
      <c r="D14" s="1" t="s">
        <v>34</v>
      </c>
      <c r="E14" s="1">
        <v>12902.11</v>
      </c>
    </row>
    <row r="15" spans="1:5" ht="14.25" customHeight="1" x14ac:dyDescent="0.3">
      <c r="A15" s="1" t="s">
        <v>129</v>
      </c>
      <c r="B15" s="1" t="s">
        <v>130</v>
      </c>
      <c r="C15" s="1" t="s">
        <v>131</v>
      </c>
      <c r="D15" s="1" t="s">
        <v>110</v>
      </c>
      <c r="E15" s="1">
        <v>4530.62</v>
      </c>
    </row>
    <row r="16" spans="1:5" ht="14.25" customHeight="1" x14ac:dyDescent="0.3">
      <c r="A16" s="1" t="s">
        <v>135</v>
      </c>
      <c r="B16" s="1" t="s">
        <v>29</v>
      </c>
      <c r="C16" s="1" t="s">
        <v>139</v>
      </c>
      <c r="D16" s="1" t="s">
        <v>44</v>
      </c>
      <c r="E16" s="1">
        <v>5867.62</v>
      </c>
    </row>
    <row r="17" spans="1:5" ht="14.25" customHeight="1" x14ac:dyDescent="0.3">
      <c r="A17" s="1" t="s">
        <v>142</v>
      </c>
      <c r="B17" s="1" t="s">
        <v>40</v>
      </c>
      <c r="C17" s="1" t="s">
        <v>144</v>
      </c>
      <c r="D17" s="1" t="s">
        <v>34</v>
      </c>
      <c r="E17" s="1">
        <v>9332.4</v>
      </c>
    </row>
    <row r="18" spans="1:5" ht="14.25" customHeight="1" x14ac:dyDescent="0.3">
      <c r="A18" s="1" t="s">
        <v>148</v>
      </c>
      <c r="B18" s="1" t="s">
        <v>149</v>
      </c>
      <c r="C18" s="1" t="s">
        <v>150</v>
      </c>
      <c r="D18" s="1" t="s">
        <v>44</v>
      </c>
      <c r="E18" s="1">
        <v>2869.34</v>
      </c>
    </row>
    <row r="19" spans="1:5" ht="14.25" customHeight="1" x14ac:dyDescent="0.3">
      <c r="A19" s="1" t="s">
        <v>59</v>
      </c>
      <c r="B19" s="1" t="s">
        <v>151</v>
      </c>
      <c r="C19" s="1" t="s">
        <v>143</v>
      </c>
      <c r="D19" s="1" t="s">
        <v>44</v>
      </c>
      <c r="E19" s="1">
        <v>10426.91</v>
      </c>
    </row>
    <row r="20" spans="1:5" ht="14.25" customHeight="1" x14ac:dyDescent="0.3">
      <c r="A20" s="1" t="s">
        <v>152</v>
      </c>
      <c r="B20" s="1" t="s">
        <v>130</v>
      </c>
      <c r="C20" s="1" t="s">
        <v>153</v>
      </c>
      <c r="D20" s="1" t="s">
        <v>44</v>
      </c>
      <c r="E20" s="1">
        <v>12416.14</v>
      </c>
    </row>
    <row r="21" spans="1:5" ht="14.25" customHeight="1" x14ac:dyDescent="0.3">
      <c r="A21" s="1" t="s">
        <v>16</v>
      </c>
      <c r="B21" s="1" t="s">
        <v>92</v>
      </c>
      <c r="C21" s="1" t="s">
        <v>154</v>
      </c>
      <c r="D21" s="1" t="s">
        <v>110</v>
      </c>
      <c r="E21" s="1">
        <v>4382.24</v>
      </c>
    </row>
    <row r="22" spans="1:5" ht="14.25" customHeight="1" x14ac:dyDescent="0.3">
      <c r="A22" s="1" t="s">
        <v>155</v>
      </c>
      <c r="B22" s="1" t="s">
        <v>40</v>
      </c>
      <c r="C22" s="1" t="s">
        <v>156</v>
      </c>
      <c r="D22" s="1" t="s">
        <v>102</v>
      </c>
      <c r="E22" s="1">
        <v>3583.08</v>
      </c>
    </row>
    <row r="23" spans="1:5" ht="14.25" customHeight="1" x14ac:dyDescent="0.3">
      <c r="A23" s="1" t="s">
        <v>157</v>
      </c>
      <c r="B23" s="1" t="s">
        <v>158</v>
      </c>
      <c r="C23" s="1" t="s">
        <v>159</v>
      </c>
      <c r="D23" s="1" t="s">
        <v>110</v>
      </c>
      <c r="E23" s="1">
        <v>2571.64</v>
      </c>
    </row>
    <row r="24" spans="1:5" ht="14.25" customHeight="1" x14ac:dyDescent="0.3">
      <c r="A24" s="1" t="s">
        <v>115</v>
      </c>
      <c r="B24" s="1" t="s">
        <v>149</v>
      </c>
      <c r="C24" s="1" t="s">
        <v>51</v>
      </c>
      <c r="D24" s="1" t="s">
        <v>102</v>
      </c>
      <c r="E24" s="1">
        <v>11331.7</v>
      </c>
    </row>
    <row r="25" spans="1:5" ht="14.25" customHeight="1" x14ac:dyDescent="0.3">
      <c r="A25" s="1" t="s">
        <v>160</v>
      </c>
      <c r="B25" s="1" t="s">
        <v>151</v>
      </c>
      <c r="C25" s="1" t="s">
        <v>161</v>
      </c>
      <c r="D25" s="1" t="s">
        <v>110</v>
      </c>
      <c r="E25" s="1">
        <v>5748.95</v>
      </c>
    </row>
    <row r="26" spans="1:5" ht="14.25" customHeight="1" x14ac:dyDescent="0.3">
      <c r="A26" s="1" t="s">
        <v>162</v>
      </c>
      <c r="B26" s="1" t="s">
        <v>149</v>
      </c>
      <c r="C26" s="1" t="s">
        <v>163</v>
      </c>
      <c r="D26" s="1" t="s">
        <v>110</v>
      </c>
      <c r="E26" s="1">
        <v>1818.19</v>
      </c>
    </row>
    <row r="27" spans="1:5" ht="14.25" customHeight="1" x14ac:dyDescent="0.3">
      <c r="A27" s="1" t="s">
        <v>164</v>
      </c>
      <c r="B27" s="1" t="s">
        <v>165</v>
      </c>
      <c r="C27" s="1" t="s">
        <v>166</v>
      </c>
      <c r="D27" s="1" t="s">
        <v>44</v>
      </c>
      <c r="E27" s="1">
        <v>11985.15</v>
      </c>
    </row>
    <row r="28" spans="1:5" ht="14.25" customHeight="1" x14ac:dyDescent="0.3">
      <c r="A28" s="1" t="s">
        <v>23</v>
      </c>
      <c r="B28" s="1" t="s">
        <v>151</v>
      </c>
      <c r="C28" s="1" t="s">
        <v>167</v>
      </c>
      <c r="D28" s="1" t="s">
        <v>110</v>
      </c>
      <c r="E28" s="1">
        <v>6033.48</v>
      </c>
    </row>
    <row r="29" spans="1:5" ht="14.25" customHeight="1" x14ac:dyDescent="0.3">
      <c r="A29" s="1" t="s">
        <v>88</v>
      </c>
      <c r="B29" s="1" t="s">
        <v>158</v>
      </c>
      <c r="C29" s="1" t="s">
        <v>168</v>
      </c>
      <c r="D29" s="1" t="s">
        <v>102</v>
      </c>
      <c r="E29" s="1">
        <v>14580.64</v>
      </c>
    </row>
    <row r="30" spans="1:5" ht="14.25" customHeight="1" x14ac:dyDescent="0.3">
      <c r="A30" s="1" t="s">
        <v>169</v>
      </c>
      <c r="B30" s="1" t="s">
        <v>130</v>
      </c>
      <c r="C30" s="1" t="s">
        <v>170</v>
      </c>
      <c r="D30" s="1" t="s">
        <v>34</v>
      </c>
      <c r="E30" s="1">
        <v>10384.799999999999</v>
      </c>
    </row>
    <row r="31" spans="1:5" ht="14.25" customHeight="1" x14ac:dyDescent="0.3">
      <c r="A31" s="1" t="s">
        <v>171</v>
      </c>
      <c r="B31" s="1" t="s">
        <v>172</v>
      </c>
      <c r="C31" s="1" t="s">
        <v>144</v>
      </c>
      <c r="D31" s="1" t="s">
        <v>102</v>
      </c>
      <c r="E31" s="1">
        <v>2117.5100000000002</v>
      </c>
    </row>
    <row r="32" spans="1:5" ht="14.25" customHeight="1" x14ac:dyDescent="0.3">
      <c r="A32" s="1" t="s">
        <v>31</v>
      </c>
      <c r="B32" s="1" t="s">
        <v>151</v>
      </c>
      <c r="C32" s="1" t="s">
        <v>173</v>
      </c>
      <c r="D32" s="1" t="s">
        <v>110</v>
      </c>
      <c r="E32" s="1">
        <v>547.05999999999995</v>
      </c>
    </row>
    <row r="33" spans="1:5" ht="14.25" customHeight="1" x14ac:dyDescent="0.3">
      <c r="A33" s="1" t="s">
        <v>174</v>
      </c>
      <c r="B33" s="1" t="s">
        <v>108</v>
      </c>
      <c r="C33" s="1" t="s">
        <v>175</v>
      </c>
      <c r="D33" s="1" t="s">
        <v>34</v>
      </c>
      <c r="E33" s="1">
        <v>13122.52</v>
      </c>
    </row>
    <row r="34" spans="1:5" ht="14.25" customHeight="1" x14ac:dyDescent="0.3">
      <c r="A34" s="1" t="s">
        <v>176</v>
      </c>
      <c r="B34" s="1" t="s">
        <v>76</v>
      </c>
      <c r="C34" s="1" t="s">
        <v>177</v>
      </c>
      <c r="D34" s="1" t="s">
        <v>44</v>
      </c>
      <c r="E34" s="1">
        <v>2716.17</v>
      </c>
    </row>
    <row r="35" spans="1:5" ht="14.25" customHeight="1" x14ac:dyDescent="0.3">
      <c r="A35" s="1" t="s">
        <v>178</v>
      </c>
      <c r="B35" s="1" t="s">
        <v>92</v>
      </c>
      <c r="C35" s="1" t="s">
        <v>179</v>
      </c>
      <c r="D35" s="1" t="s">
        <v>34</v>
      </c>
      <c r="E35" s="1">
        <v>9184.7000000000007</v>
      </c>
    </row>
    <row r="36" spans="1:5" ht="14.25" customHeight="1" x14ac:dyDescent="0.3">
      <c r="A36" s="1" t="s">
        <v>137</v>
      </c>
      <c r="B36" s="1" t="s">
        <v>158</v>
      </c>
      <c r="C36" s="1" t="s">
        <v>180</v>
      </c>
      <c r="D36" s="1" t="s">
        <v>34</v>
      </c>
      <c r="E36" s="1">
        <v>13971.93</v>
      </c>
    </row>
    <row r="37" spans="1:5" ht="14.25" customHeight="1" x14ac:dyDescent="0.3">
      <c r="A37" s="1" t="s">
        <v>181</v>
      </c>
      <c r="B37" s="1" t="s">
        <v>182</v>
      </c>
      <c r="C37" s="1" t="s">
        <v>183</v>
      </c>
      <c r="D37" s="1" t="s">
        <v>44</v>
      </c>
      <c r="E37" s="1">
        <v>1339.91</v>
      </c>
    </row>
    <row r="38" spans="1:5" ht="14.25" customHeight="1" x14ac:dyDescent="0.3">
      <c r="A38" s="1" t="s">
        <v>184</v>
      </c>
      <c r="B38" s="1" t="s">
        <v>182</v>
      </c>
      <c r="C38" s="1" t="s">
        <v>156</v>
      </c>
      <c r="D38" s="1" t="s">
        <v>34</v>
      </c>
      <c r="E38" s="1">
        <v>1741.98</v>
      </c>
    </row>
    <row r="39" spans="1:5" ht="14.25" customHeight="1" x14ac:dyDescent="0.3">
      <c r="A39" s="1" t="s">
        <v>185</v>
      </c>
      <c r="B39" s="1" t="s">
        <v>158</v>
      </c>
      <c r="C39" s="1" t="s">
        <v>186</v>
      </c>
      <c r="D39" s="1" t="s">
        <v>44</v>
      </c>
      <c r="E39" s="1">
        <v>2361.6799999999998</v>
      </c>
    </row>
    <row r="40" spans="1:5" ht="14.25" customHeight="1" x14ac:dyDescent="0.3">
      <c r="A40" s="1" t="s">
        <v>187</v>
      </c>
      <c r="B40" s="1" t="s">
        <v>158</v>
      </c>
      <c r="C40" s="1" t="s">
        <v>188</v>
      </c>
      <c r="D40" s="1" t="s">
        <v>44</v>
      </c>
      <c r="E40" s="1">
        <v>4343.32</v>
      </c>
    </row>
    <row r="41" spans="1:5" ht="14.25" customHeight="1" x14ac:dyDescent="0.3">
      <c r="A41" s="1" t="s">
        <v>106</v>
      </c>
      <c r="B41" s="1" t="s">
        <v>130</v>
      </c>
      <c r="C41" s="1" t="s">
        <v>189</v>
      </c>
      <c r="D41" s="1" t="s">
        <v>44</v>
      </c>
      <c r="E41" s="1">
        <v>13969.25</v>
      </c>
    </row>
    <row r="42" spans="1:5" ht="14.25" customHeight="1" x14ac:dyDescent="0.3">
      <c r="A42" s="1" t="s">
        <v>190</v>
      </c>
      <c r="B42" s="1" t="s">
        <v>92</v>
      </c>
      <c r="C42" s="1" t="s">
        <v>191</v>
      </c>
      <c r="D42" s="1" t="s">
        <v>102</v>
      </c>
      <c r="E42" s="1">
        <v>6285.39</v>
      </c>
    </row>
    <row r="43" spans="1:5" ht="14.25" customHeight="1" x14ac:dyDescent="0.3">
      <c r="A43" s="1" t="s">
        <v>192</v>
      </c>
      <c r="B43" s="1" t="s">
        <v>29</v>
      </c>
      <c r="C43" s="1" t="s">
        <v>193</v>
      </c>
      <c r="D43" s="1" t="s">
        <v>110</v>
      </c>
      <c r="E43" s="1">
        <v>13544.4</v>
      </c>
    </row>
    <row r="44" spans="1:5" ht="14.25" customHeight="1" x14ac:dyDescent="0.3">
      <c r="A44" s="1" t="s">
        <v>194</v>
      </c>
      <c r="B44" s="1" t="s">
        <v>158</v>
      </c>
      <c r="C44" s="1" t="s">
        <v>195</v>
      </c>
      <c r="D44" s="1" t="s">
        <v>44</v>
      </c>
      <c r="E44" s="1">
        <v>3758.11</v>
      </c>
    </row>
    <row r="45" spans="1:5" ht="14.25" customHeight="1" x14ac:dyDescent="0.3">
      <c r="A45" s="1" t="s">
        <v>196</v>
      </c>
      <c r="B45" s="1" t="s">
        <v>82</v>
      </c>
      <c r="C45" s="1" t="s">
        <v>80</v>
      </c>
      <c r="D45" s="1" t="s">
        <v>44</v>
      </c>
      <c r="E45" s="1">
        <v>9032.3799999999992</v>
      </c>
    </row>
    <row r="46" spans="1:5" ht="14.25" customHeight="1" x14ac:dyDescent="0.3">
      <c r="A46" s="1" t="s">
        <v>197</v>
      </c>
      <c r="B46" s="1" t="s">
        <v>58</v>
      </c>
      <c r="C46" s="1" t="s">
        <v>198</v>
      </c>
      <c r="D46" s="1" t="s">
        <v>44</v>
      </c>
      <c r="E46" s="1">
        <v>1477.3</v>
      </c>
    </row>
    <row r="47" spans="1:5" ht="14.25" customHeight="1" x14ac:dyDescent="0.3">
      <c r="A47" s="1" t="s">
        <v>199</v>
      </c>
      <c r="B47" s="1" t="s">
        <v>58</v>
      </c>
      <c r="C47" s="1" t="s">
        <v>200</v>
      </c>
      <c r="D47" s="1" t="s">
        <v>44</v>
      </c>
      <c r="E47" s="1">
        <v>4537.92</v>
      </c>
    </row>
    <row r="48" spans="1:5" ht="14.25" customHeight="1" x14ac:dyDescent="0.3">
      <c r="A48" s="1" t="s">
        <v>201</v>
      </c>
      <c r="B48" s="1" t="s">
        <v>158</v>
      </c>
      <c r="C48" s="1" t="s">
        <v>202</v>
      </c>
      <c r="D48" s="1" t="s">
        <v>44</v>
      </c>
      <c r="E48" s="1">
        <v>10988.61</v>
      </c>
    </row>
    <row r="49" spans="1:5" ht="14.25" customHeight="1" x14ac:dyDescent="0.3">
      <c r="A49" s="1" t="s">
        <v>203</v>
      </c>
      <c r="B49" s="1" t="s">
        <v>182</v>
      </c>
      <c r="C49" s="1" t="s">
        <v>204</v>
      </c>
      <c r="D49" s="1" t="s">
        <v>110</v>
      </c>
      <c r="E49" s="1">
        <v>4023.46</v>
      </c>
    </row>
    <row r="50" spans="1:5" ht="14.25" customHeight="1" x14ac:dyDescent="0.3">
      <c r="A50" s="1" t="s">
        <v>205</v>
      </c>
      <c r="B50" s="1" t="s">
        <v>158</v>
      </c>
      <c r="C50" s="1" t="s">
        <v>206</v>
      </c>
      <c r="D50" s="1" t="s">
        <v>44</v>
      </c>
      <c r="E50" s="1">
        <v>1867.72</v>
      </c>
    </row>
    <row r="51" spans="1:5" ht="14.25" customHeight="1" x14ac:dyDescent="0.3">
      <c r="A51" s="1" t="s">
        <v>207</v>
      </c>
      <c r="B51" s="1" t="s">
        <v>29</v>
      </c>
      <c r="C51" s="1" t="s">
        <v>208</v>
      </c>
      <c r="D51" s="1" t="s">
        <v>102</v>
      </c>
      <c r="E51" s="1">
        <v>6641.89</v>
      </c>
    </row>
    <row r="52" spans="1:5" ht="14.25" customHeight="1" x14ac:dyDescent="0.3">
      <c r="A52" s="1" t="s">
        <v>13</v>
      </c>
      <c r="B52" s="1" t="s">
        <v>158</v>
      </c>
      <c r="C52" s="1" t="s">
        <v>209</v>
      </c>
      <c r="D52" s="1" t="s">
        <v>34</v>
      </c>
      <c r="E52" s="1">
        <v>1378.88</v>
      </c>
    </row>
    <row r="53" spans="1:5" ht="14.25" customHeight="1" x14ac:dyDescent="0.3">
      <c r="A53" s="1" t="s">
        <v>210</v>
      </c>
      <c r="B53" s="1" t="s">
        <v>108</v>
      </c>
      <c r="C53" s="1" t="s">
        <v>211</v>
      </c>
      <c r="D53" s="1" t="s">
        <v>44</v>
      </c>
      <c r="E53" s="1">
        <v>3278.06</v>
      </c>
    </row>
    <row r="54" spans="1:5" ht="14.25" customHeight="1" x14ac:dyDescent="0.3">
      <c r="A54" s="1" t="s">
        <v>212</v>
      </c>
      <c r="B54" s="1" t="s">
        <v>213</v>
      </c>
      <c r="C54" s="1" t="s">
        <v>214</v>
      </c>
      <c r="D54" s="1" t="s">
        <v>110</v>
      </c>
      <c r="E54" s="1">
        <v>3160.58</v>
      </c>
    </row>
    <row r="55" spans="1:5" ht="14.25" customHeight="1" x14ac:dyDescent="0.3">
      <c r="A55" s="1" t="s">
        <v>215</v>
      </c>
      <c r="B55" s="1" t="s">
        <v>158</v>
      </c>
      <c r="C55" s="1" t="s">
        <v>216</v>
      </c>
      <c r="D55" s="1" t="s">
        <v>34</v>
      </c>
      <c r="E55" s="1">
        <v>6925.4</v>
      </c>
    </row>
    <row r="56" spans="1:5" ht="14.25" customHeight="1" x14ac:dyDescent="0.3">
      <c r="A56" s="1" t="s">
        <v>217</v>
      </c>
      <c r="B56" s="1" t="s">
        <v>130</v>
      </c>
      <c r="C56" s="1" t="s">
        <v>188</v>
      </c>
      <c r="D56" s="1" t="s">
        <v>34</v>
      </c>
      <c r="E56" s="1">
        <v>1233.53</v>
      </c>
    </row>
    <row r="57" spans="1:5" ht="14.25" customHeight="1" x14ac:dyDescent="0.3">
      <c r="A57" s="1" t="s">
        <v>218</v>
      </c>
      <c r="B57" s="1" t="s">
        <v>213</v>
      </c>
      <c r="C57" s="1" t="s">
        <v>219</v>
      </c>
      <c r="D57" s="1" t="s">
        <v>44</v>
      </c>
      <c r="E57" s="1">
        <v>2911.51</v>
      </c>
    </row>
    <row r="58" spans="1:5" ht="14.25" customHeight="1" x14ac:dyDescent="0.3">
      <c r="A58" s="1" t="s">
        <v>220</v>
      </c>
      <c r="B58" s="1" t="s">
        <v>158</v>
      </c>
      <c r="C58" s="1" t="s">
        <v>221</v>
      </c>
      <c r="D58" s="1" t="s">
        <v>44</v>
      </c>
      <c r="E58" s="1">
        <v>13037.43</v>
      </c>
    </row>
    <row r="59" spans="1:5" ht="14.25" customHeight="1" x14ac:dyDescent="0.3">
      <c r="A59" s="1" t="s">
        <v>222</v>
      </c>
      <c r="B59" s="1" t="s">
        <v>182</v>
      </c>
      <c r="C59" s="1" t="s">
        <v>223</v>
      </c>
      <c r="D59" s="1" t="s">
        <v>44</v>
      </c>
      <c r="E59" s="1">
        <v>5995.11</v>
      </c>
    </row>
    <row r="60" spans="1:5" ht="14.25" customHeight="1" x14ac:dyDescent="0.3">
      <c r="A60" s="1" t="s">
        <v>224</v>
      </c>
      <c r="B60" s="1" t="s">
        <v>151</v>
      </c>
      <c r="C60" s="1" t="s">
        <v>225</v>
      </c>
      <c r="D60" s="1" t="s">
        <v>110</v>
      </c>
      <c r="E60" s="1">
        <v>4636.1099999999997</v>
      </c>
    </row>
    <row r="61" spans="1:5" ht="14.25" customHeight="1" x14ac:dyDescent="0.3">
      <c r="A61" s="1" t="s">
        <v>226</v>
      </c>
      <c r="B61" s="1" t="s">
        <v>69</v>
      </c>
      <c r="C61" s="1" t="s">
        <v>227</v>
      </c>
      <c r="D61" s="1" t="s">
        <v>44</v>
      </c>
      <c r="E61" s="1">
        <v>3253.52</v>
      </c>
    </row>
    <row r="62" spans="1:5" ht="14.25" customHeight="1" x14ac:dyDescent="0.3">
      <c r="A62" s="1" t="s">
        <v>228</v>
      </c>
      <c r="B62" s="1" t="s">
        <v>40</v>
      </c>
      <c r="C62" s="1" t="s">
        <v>229</v>
      </c>
      <c r="D62" s="1" t="s">
        <v>34</v>
      </c>
      <c r="E62" s="1">
        <v>11345.65</v>
      </c>
    </row>
    <row r="63" spans="1:5" ht="14.25" customHeight="1" x14ac:dyDescent="0.3">
      <c r="A63" s="1" t="s">
        <v>230</v>
      </c>
      <c r="B63" s="1" t="s">
        <v>231</v>
      </c>
      <c r="C63" s="1" t="s">
        <v>232</v>
      </c>
      <c r="D63" s="1" t="s">
        <v>44</v>
      </c>
      <c r="E63" s="1">
        <v>1324.75</v>
      </c>
    </row>
    <row r="64" spans="1:5" ht="14.25" customHeight="1" x14ac:dyDescent="0.3">
      <c r="A64" s="1" t="s">
        <v>19</v>
      </c>
      <c r="B64" s="1" t="s">
        <v>213</v>
      </c>
      <c r="C64" s="1" t="s">
        <v>233</v>
      </c>
      <c r="D64" s="1" t="s">
        <v>34</v>
      </c>
      <c r="E64" s="1">
        <v>9128.01</v>
      </c>
    </row>
    <row r="65" spans="1:5" ht="14.25" customHeight="1" x14ac:dyDescent="0.3">
      <c r="A65" s="1" t="s">
        <v>234</v>
      </c>
      <c r="B65" s="1" t="s">
        <v>29</v>
      </c>
      <c r="C65" s="1" t="s">
        <v>100</v>
      </c>
      <c r="D65" s="1" t="s">
        <v>110</v>
      </c>
      <c r="E65" s="1">
        <v>2238.36</v>
      </c>
    </row>
    <row r="66" spans="1:5" ht="14.25" customHeight="1" x14ac:dyDescent="0.3">
      <c r="A66" s="1" t="s">
        <v>235</v>
      </c>
      <c r="B66" s="1" t="s">
        <v>182</v>
      </c>
      <c r="C66" s="1" t="s">
        <v>236</v>
      </c>
      <c r="D66" s="1" t="s">
        <v>44</v>
      </c>
      <c r="E66" s="1">
        <v>8894.33</v>
      </c>
    </row>
    <row r="67" spans="1:5" ht="14.25" customHeight="1" x14ac:dyDescent="0.3">
      <c r="A67" s="1" t="s">
        <v>237</v>
      </c>
      <c r="B67" s="1" t="s">
        <v>231</v>
      </c>
      <c r="C67" s="1" t="s">
        <v>233</v>
      </c>
      <c r="D67" s="1" t="s">
        <v>102</v>
      </c>
      <c r="E67" s="1">
        <v>14053.24</v>
      </c>
    </row>
    <row r="68" spans="1:5" ht="14.25" customHeight="1" x14ac:dyDescent="0.3">
      <c r="A68" s="1" t="s">
        <v>125</v>
      </c>
      <c r="B68" s="1" t="s">
        <v>40</v>
      </c>
      <c r="C68" s="1" t="s">
        <v>238</v>
      </c>
      <c r="D68" s="1" t="s">
        <v>44</v>
      </c>
      <c r="E68" s="1">
        <v>4351.41</v>
      </c>
    </row>
    <row r="69" spans="1:5" ht="14.25" customHeight="1" x14ac:dyDescent="0.3">
      <c r="A69" s="1" t="s">
        <v>239</v>
      </c>
      <c r="B69" s="1" t="s">
        <v>149</v>
      </c>
      <c r="C69" s="1" t="s">
        <v>240</v>
      </c>
      <c r="D69" s="1" t="s">
        <v>110</v>
      </c>
      <c r="E69" s="1">
        <v>5084.57</v>
      </c>
    </row>
    <row r="70" spans="1:5" ht="14.25" customHeight="1" x14ac:dyDescent="0.3">
      <c r="A70" s="1" t="s">
        <v>241</v>
      </c>
      <c r="B70" s="1" t="s">
        <v>92</v>
      </c>
      <c r="C70" s="1" t="s">
        <v>242</v>
      </c>
      <c r="D70" s="1" t="s">
        <v>34</v>
      </c>
      <c r="E70" s="1">
        <v>7145.14</v>
      </c>
    </row>
    <row r="71" spans="1:5" ht="14.25" customHeight="1" x14ac:dyDescent="0.3">
      <c r="A71" s="1" t="s">
        <v>243</v>
      </c>
      <c r="B71" s="1" t="s">
        <v>65</v>
      </c>
      <c r="C71" s="1" t="s">
        <v>131</v>
      </c>
      <c r="D71" s="1" t="s">
        <v>34</v>
      </c>
      <c r="E71" s="1">
        <v>8295.7000000000007</v>
      </c>
    </row>
    <row r="72" spans="1:5" ht="14.25" customHeight="1" x14ac:dyDescent="0.3">
      <c r="A72" s="1" t="s">
        <v>244</v>
      </c>
      <c r="B72" s="1" t="s">
        <v>213</v>
      </c>
      <c r="C72" s="1" t="s">
        <v>225</v>
      </c>
      <c r="D72" s="1" t="s">
        <v>102</v>
      </c>
      <c r="E72" s="1">
        <v>13272.53</v>
      </c>
    </row>
    <row r="73" spans="1:5" ht="14.25" customHeight="1" x14ac:dyDescent="0.3">
      <c r="A73" s="1" t="s">
        <v>245</v>
      </c>
      <c r="B73" s="1" t="s">
        <v>182</v>
      </c>
      <c r="C73" s="1" t="s">
        <v>246</v>
      </c>
      <c r="D73" s="1" t="s">
        <v>102</v>
      </c>
      <c r="E73" s="1">
        <v>4632.32</v>
      </c>
    </row>
    <row r="74" spans="1:5" ht="14.25" customHeight="1" x14ac:dyDescent="0.3">
      <c r="A74" s="1" t="s">
        <v>247</v>
      </c>
      <c r="B74" s="1" t="s">
        <v>158</v>
      </c>
      <c r="C74" s="1" t="s">
        <v>248</v>
      </c>
      <c r="D74" s="1" t="s">
        <v>102</v>
      </c>
      <c r="E74" s="1">
        <v>9369.33</v>
      </c>
    </row>
    <row r="75" spans="1:5" ht="14.25" customHeight="1" x14ac:dyDescent="0.3">
      <c r="A75" s="1" t="s">
        <v>249</v>
      </c>
      <c r="B75" s="1" t="s">
        <v>92</v>
      </c>
      <c r="C75" s="1" t="s">
        <v>168</v>
      </c>
      <c r="D75" s="1" t="s">
        <v>34</v>
      </c>
      <c r="E75" s="1">
        <v>10184.02</v>
      </c>
    </row>
    <row r="76" spans="1:5" ht="14.25" customHeight="1" x14ac:dyDescent="0.3">
      <c r="A76" s="1" t="s">
        <v>250</v>
      </c>
      <c r="B76" s="1" t="s">
        <v>172</v>
      </c>
      <c r="C76" s="1" t="s">
        <v>240</v>
      </c>
      <c r="D76" s="1" t="s">
        <v>34</v>
      </c>
      <c r="E76" s="1">
        <v>14114.49</v>
      </c>
    </row>
    <row r="77" spans="1:5" ht="14.25" customHeight="1" x14ac:dyDescent="0.3">
      <c r="A77" s="1" t="s">
        <v>251</v>
      </c>
      <c r="B77" s="1" t="s">
        <v>149</v>
      </c>
      <c r="C77" s="1" t="s">
        <v>225</v>
      </c>
      <c r="D77" s="1" t="s">
        <v>34</v>
      </c>
      <c r="E77" s="1">
        <v>13400.83</v>
      </c>
    </row>
    <row r="78" spans="1:5" ht="14.25" customHeight="1" x14ac:dyDescent="0.3">
      <c r="A78" s="1" t="s">
        <v>252</v>
      </c>
      <c r="B78" s="1" t="s">
        <v>108</v>
      </c>
      <c r="C78" s="1" t="s">
        <v>253</v>
      </c>
      <c r="D78" s="1" t="s">
        <v>102</v>
      </c>
      <c r="E78" s="1">
        <v>4585.47</v>
      </c>
    </row>
    <row r="79" spans="1:5" ht="14.25" customHeight="1" x14ac:dyDescent="0.3">
      <c r="A79" s="1" t="s">
        <v>26</v>
      </c>
      <c r="B79" s="1" t="s">
        <v>40</v>
      </c>
      <c r="C79" s="1" t="s">
        <v>254</v>
      </c>
      <c r="D79" s="1" t="s">
        <v>44</v>
      </c>
      <c r="E79" s="1">
        <v>10468.709999999999</v>
      </c>
    </row>
    <row r="80" spans="1:5" ht="14.25" customHeight="1" x14ac:dyDescent="0.3">
      <c r="A80" s="1" t="s">
        <v>141</v>
      </c>
      <c r="B80" s="1" t="s">
        <v>130</v>
      </c>
      <c r="C80" s="1" t="s">
        <v>225</v>
      </c>
      <c r="D80" s="1" t="s">
        <v>110</v>
      </c>
      <c r="E80" s="1">
        <v>4141.26</v>
      </c>
    </row>
    <row r="81" spans="1:5" ht="14.25" customHeight="1" x14ac:dyDescent="0.3">
      <c r="A81" s="1" t="s">
        <v>255</v>
      </c>
      <c r="B81" s="1" t="s">
        <v>182</v>
      </c>
      <c r="C81" s="1" t="s">
        <v>138</v>
      </c>
      <c r="D81" s="1" t="s">
        <v>34</v>
      </c>
      <c r="E81" s="1">
        <v>9697.1200000000008</v>
      </c>
    </row>
    <row r="82" spans="1:5" ht="14.25" customHeight="1" x14ac:dyDescent="0.3">
      <c r="A82" s="1" t="s">
        <v>256</v>
      </c>
      <c r="B82" s="1" t="s">
        <v>130</v>
      </c>
      <c r="C82" s="1" t="s">
        <v>257</v>
      </c>
      <c r="D82" s="1" t="s">
        <v>34</v>
      </c>
      <c r="E82" s="1">
        <v>551.41</v>
      </c>
    </row>
    <row r="83" spans="1:5" ht="14.25" customHeight="1" x14ac:dyDescent="0.3">
      <c r="A83" s="1" t="s">
        <v>258</v>
      </c>
      <c r="B83" s="1" t="s">
        <v>92</v>
      </c>
      <c r="C83" s="1" t="s">
        <v>259</v>
      </c>
      <c r="D83" s="1" t="s">
        <v>102</v>
      </c>
      <c r="E83" s="1">
        <v>2842.94</v>
      </c>
    </row>
    <row r="84" spans="1:5" ht="14.25" customHeight="1" x14ac:dyDescent="0.3">
      <c r="A84" s="1" t="s">
        <v>260</v>
      </c>
      <c r="B84" s="1" t="s">
        <v>158</v>
      </c>
      <c r="C84" s="1" t="s">
        <v>261</v>
      </c>
      <c r="D84" s="1" t="s">
        <v>110</v>
      </c>
      <c r="E84" s="1">
        <v>8633.15</v>
      </c>
    </row>
    <row r="85" spans="1:5" ht="14.25" customHeight="1" x14ac:dyDescent="0.3">
      <c r="A85" s="1" t="s">
        <v>133</v>
      </c>
      <c r="B85" s="1" t="s">
        <v>262</v>
      </c>
      <c r="C85" s="1" t="s">
        <v>263</v>
      </c>
      <c r="D85" s="1" t="s">
        <v>44</v>
      </c>
      <c r="E85" s="1">
        <v>8411.06</v>
      </c>
    </row>
    <row r="86" spans="1:5" ht="14.25" customHeight="1" x14ac:dyDescent="0.3">
      <c r="A86" s="1" t="s">
        <v>264</v>
      </c>
      <c r="B86" s="1" t="s">
        <v>130</v>
      </c>
      <c r="C86" s="1" t="s">
        <v>265</v>
      </c>
      <c r="D86" s="1" t="s">
        <v>44</v>
      </c>
      <c r="E86" s="1">
        <v>6731.91</v>
      </c>
    </row>
    <row r="87" spans="1:5" ht="14.25" customHeight="1" x14ac:dyDescent="0.3">
      <c r="A87" s="1" t="s">
        <v>266</v>
      </c>
      <c r="B87" s="1" t="s">
        <v>122</v>
      </c>
      <c r="C87" s="1" t="s">
        <v>183</v>
      </c>
      <c r="D87" s="1" t="s">
        <v>34</v>
      </c>
      <c r="E87" s="1">
        <v>13534.41</v>
      </c>
    </row>
    <row r="88" spans="1:5" ht="14.25" customHeight="1" x14ac:dyDescent="0.3">
      <c r="A88" s="1" t="s">
        <v>267</v>
      </c>
      <c r="B88" s="1" t="s">
        <v>40</v>
      </c>
      <c r="C88" s="1" t="s">
        <v>216</v>
      </c>
      <c r="D88" s="1" t="s">
        <v>34</v>
      </c>
      <c r="E88" s="1">
        <v>5628.34</v>
      </c>
    </row>
    <row r="89" spans="1:5" ht="14.25" customHeight="1" x14ac:dyDescent="0.3">
      <c r="A89" s="1" t="s">
        <v>71</v>
      </c>
      <c r="B89" s="1" t="s">
        <v>172</v>
      </c>
      <c r="C89" s="1" t="s">
        <v>206</v>
      </c>
      <c r="D89" s="1" t="s">
        <v>44</v>
      </c>
      <c r="E89" s="1">
        <v>13923.58</v>
      </c>
    </row>
    <row r="90" spans="1:5" ht="14.25" customHeight="1" x14ac:dyDescent="0.3">
      <c r="A90" s="1" t="s">
        <v>41</v>
      </c>
      <c r="B90" s="1" t="s">
        <v>40</v>
      </c>
      <c r="C90" s="1" t="s">
        <v>268</v>
      </c>
      <c r="D90" s="1" t="s">
        <v>44</v>
      </c>
      <c r="E90" s="1">
        <v>13280.53</v>
      </c>
    </row>
    <row r="91" spans="1:5" ht="14.25" customHeight="1" x14ac:dyDescent="0.3">
      <c r="A91" s="1" t="s">
        <v>269</v>
      </c>
      <c r="B91" s="1" t="s">
        <v>122</v>
      </c>
      <c r="C91" s="1" t="s">
        <v>270</v>
      </c>
      <c r="D91" s="1" t="s">
        <v>110</v>
      </c>
      <c r="E91" s="1">
        <v>12132.41</v>
      </c>
    </row>
    <row r="92" spans="1:5" ht="14.25" customHeight="1" x14ac:dyDescent="0.3">
      <c r="A92" s="1" t="s">
        <v>271</v>
      </c>
      <c r="B92" s="1" t="s">
        <v>130</v>
      </c>
      <c r="C92" s="1" t="s">
        <v>216</v>
      </c>
      <c r="D92" s="1" t="s">
        <v>102</v>
      </c>
      <c r="E92" s="1">
        <v>2808.37</v>
      </c>
    </row>
    <row r="93" spans="1:5" ht="14.25" customHeight="1" x14ac:dyDescent="0.3">
      <c r="A93" s="1" t="s">
        <v>272</v>
      </c>
      <c r="B93" s="1" t="s">
        <v>69</v>
      </c>
      <c r="C93" s="1" t="s">
        <v>134</v>
      </c>
      <c r="D93" s="1" t="s">
        <v>34</v>
      </c>
      <c r="E93" s="1">
        <v>12949.6</v>
      </c>
    </row>
    <row r="94" spans="1:5" ht="14.25" customHeight="1" x14ac:dyDescent="0.3">
      <c r="A94" s="1" t="s">
        <v>98</v>
      </c>
      <c r="B94" s="1" t="s">
        <v>40</v>
      </c>
      <c r="C94" s="1" t="s">
        <v>191</v>
      </c>
      <c r="D94" s="1" t="s">
        <v>110</v>
      </c>
      <c r="E94" s="1">
        <v>5570.05</v>
      </c>
    </row>
    <row r="95" spans="1:5" ht="14.25" customHeight="1" x14ac:dyDescent="0.3">
      <c r="A95" s="1" t="s">
        <v>119</v>
      </c>
      <c r="B95" s="1" t="s">
        <v>130</v>
      </c>
      <c r="C95" s="1" t="s">
        <v>124</v>
      </c>
      <c r="D95" s="1" t="s">
        <v>44</v>
      </c>
      <c r="E95" s="1">
        <v>843.13</v>
      </c>
    </row>
    <row r="96" spans="1:5" ht="14.25" customHeight="1" x14ac:dyDescent="0.3">
      <c r="A96" s="1" t="s">
        <v>54</v>
      </c>
      <c r="B96" s="1" t="s">
        <v>40</v>
      </c>
      <c r="C96" s="1" t="s">
        <v>273</v>
      </c>
      <c r="D96" s="1" t="s">
        <v>102</v>
      </c>
      <c r="E96" s="1">
        <v>4539.74</v>
      </c>
    </row>
    <row r="97" spans="1:5" ht="14.25" customHeight="1" x14ac:dyDescent="0.3">
      <c r="A97" s="1" t="s">
        <v>274</v>
      </c>
      <c r="B97" s="1" t="s">
        <v>99</v>
      </c>
      <c r="C97" s="1" t="s">
        <v>84</v>
      </c>
      <c r="D97" s="1" t="s">
        <v>110</v>
      </c>
      <c r="E97" s="1">
        <v>10353.01</v>
      </c>
    </row>
    <row r="98" spans="1:5" ht="14.25" customHeight="1" x14ac:dyDescent="0.3">
      <c r="A98" s="1" t="s">
        <v>275</v>
      </c>
      <c r="B98" s="1" t="s">
        <v>130</v>
      </c>
      <c r="C98" s="1" t="s">
        <v>276</v>
      </c>
      <c r="D98" s="1" t="s">
        <v>102</v>
      </c>
      <c r="E98" s="1">
        <v>14118.94</v>
      </c>
    </row>
    <row r="99" spans="1:5" ht="14.25" customHeight="1" x14ac:dyDescent="0.3">
      <c r="A99" s="1" t="s">
        <v>277</v>
      </c>
      <c r="B99" s="1" t="s">
        <v>278</v>
      </c>
      <c r="C99" s="1" t="s">
        <v>120</v>
      </c>
      <c r="D99" s="1" t="s">
        <v>102</v>
      </c>
      <c r="E99" s="1">
        <v>1054.73</v>
      </c>
    </row>
    <row r="100" spans="1:5" ht="14.25" customHeight="1" x14ac:dyDescent="0.3">
      <c r="A100" s="1" t="s">
        <v>279</v>
      </c>
      <c r="B100" s="1" t="s">
        <v>65</v>
      </c>
      <c r="C100" s="1" t="s">
        <v>280</v>
      </c>
      <c r="D100" s="1" t="s">
        <v>102</v>
      </c>
      <c r="E100" s="1">
        <v>11063.9</v>
      </c>
    </row>
    <row r="101" spans="1:5" ht="14.25" customHeight="1" x14ac:dyDescent="0.3">
      <c r="A101" s="1" t="s">
        <v>281</v>
      </c>
      <c r="B101" s="1" t="s">
        <v>82</v>
      </c>
      <c r="C101" s="1" t="s">
        <v>282</v>
      </c>
      <c r="D101" s="1" t="s">
        <v>34</v>
      </c>
      <c r="E101" s="1">
        <v>6085.33</v>
      </c>
    </row>
    <row r="102" spans="1:5" ht="14.25" customHeight="1" x14ac:dyDescent="0.3">
      <c r="A102" s="1" t="s">
        <v>283</v>
      </c>
      <c r="B102" s="1" t="s">
        <v>65</v>
      </c>
      <c r="C102" s="1" t="s">
        <v>284</v>
      </c>
      <c r="D102" s="1" t="s">
        <v>102</v>
      </c>
      <c r="E102" s="1">
        <v>1143.5999999999999</v>
      </c>
    </row>
    <row r="103" spans="1:5" ht="14.25" customHeight="1" x14ac:dyDescent="0.3">
      <c r="A103" s="1" t="s">
        <v>285</v>
      </c>
      <c r="B103" s="1" t="s">
        <v>151</v>
      </c>
      <c r="C103" s="1" t="s">
        <v>286</v>
      </c>
      <c r="D103" s="1" t="s">
        <v>44</v>
      </c>
      <c r="E103" s="1">
        <v>5781.21</v>
      </c>
    </row>
    <row r="104" spans="1:5" ht="14.25" customHeight="1" x14ac:dyDescent="0.3">
      <c r="A104" s="1" t="s">
        <v>287</v>
      </c>
      <c r="B104" s="1" t="s">
        <v>262</v>
      </c>
      <c r="C104" s="1" t="s">
        <v>200</v>
      </c>
      <c r="D104" s="1" t="s">
        <v>102</v>
      </c>
      <c r="E104" s="1">
        <v>10119.120000000001</v>
      </c>
    </row>
    <row r="105" spans="1:5" ht="14.25" customHeight="1" x14ac:dyDescent="0.3">
      <c r="A105" s="1" t="s">
        <v>288</v>
      </c>
      <c r="B105" s="1" t="s">
        <v>262</v>
      </c>
      <c r="C105" s="1" t="s">
        <v>240</v>
      </c>
      <c r="D105" s="1" t="s">
        <v>102</v>
      </c>
      <c r="E105" s="1">
        <v>10169.950000000001</v>
      </c>
    </row>
    <row r="106" spans="1:5" ht="14.25" customHeight="1" x14ac:dyDescent="0.3">
      <c r="A106" s="1" t="s">
        <v>289</v>
      </c>
      <c r="B106" s="1" t="s">
        <v>82</v>
      </c>
      <c r="C106" s="1" t="s">
        <v>290</v>
      </c>
      <c r="D106" s="1" t="s">
        <v>102</v>
      </c>
      <c r="E106" s="1">
        <v>8538.98</v>
      </c>
    </row>
    <row r="107" spans="1:5" ht="14.25" customHeight="1" x14ac:dyDescent="0.3">
      <c r="A107" s="1" t="s">
        <v>291</v>
      </c>
      <c r="B107" s="1" t="s">
        <v>40</v>
      </c>
      <c r="C107" s="1" t="s">
        <v>292</v>
      </c>
      <c r="D107" s="1" t="s">
        <v>110</v>
      </c>
      <c r="E107" s="1">
        <v>10321.11</v>
      </c>
    </row>
    <row r="108" spans="1:5" ht="14.25" customHeight="1" x14ac:dyDescent="0.3">
      <c r="A108" s="1" t="s">
        <v>293</v>
      </c>
      <c r="B108" s="1" t="s">
        <v>182</v>
      </c>
      <c r="C108" s="1" t="s">
        <v>294</v>
      </c>
      <c r="D108" s="1" t="s">
        <v>102</v>
      </c>
      <c r="E108" s="1">
        <v>6388.09</v>
      </c>
    </row>
    <row r="109" spans="1:5" ht="14.25" customHeight="1" x14ac:dyDescent="0.3">
      <c r="A109" s="1" t="s">
        <v>79</v>
      </c>
      <c r="B109" s="1" t="s">
        <v>130</v>
      </c>
      <c r="C109" s="1" t="s">
        <v>286</v>
      </c>
      <c r="D109" s="1" t="s">
        <v>102</v>
      </c>
      <c r="E109" s="1">
        <v>4660.25</v>
      </c>
    </row>
    <row r="110" spans="1:5" ht="14.25" customHeight="1" x14ac:dyDescent="0.3">
      <c r="A110" s="1" t="s">
        <v>295</v>
      </c>
      <c r="B110" s="1" t="s">
        <v>151</v>
      </c>
      <c r="C110" s="1" t="s">
        <v>296</v>
      </c>
      <c r="D110" s="1" t="s">
        <v>102</v>
      </c>
      <c r="E110" s="1">
        <v>7242.33</v>
      </c>
    </row>
    <row r="111" spans="1:5" ht="14.25" customHeight="1" x14ac:dyDescent="0.3">
      <c r="A111" s="1" t="s">
        <v>50</v>
      </c>
      <c r="B111" s="1" t="s">
        <v>158</v>
      </c>
      <c r="C111" s="1" t="s">
        <v>202</v>
      </c>
      <c r="D111" s="1" t="s">
        <v>110</v>
      </c>
      <c r="E111" s="1">
        <v>12009.16</v>
      </c>
    </row>
    <row r="112" spans="1:5" ht="14.25" customHeight="1" x14ac:dyDescent="0.3">
      <c r="A112" s="1" t="s">
        <v>93</v>
      </c>
      <c r="B112" s="1" t="s">
        <v>92</v>
      </c>
      <c r="C112" s="1" t="s">
        <v>297</v>
      </c>
      <c r="D112" s="1" t="s">
        <v>34</v>
      </c>
      <c r="E112" s="1">
        <v>4614.8999999999996</v>
      </c>
    </row>
    <row r="113" spans="1:5" ht="14.25" customHeight="1" x14ac:dyDescent="0.3">
      <c r="A113" s="1" t="s">
        <v>112</v>
      </c>
      <c r="B113" s="1" t="s">
        <v>29</v>
      </c>
      <c r="C113" s="1" t="s">
        <v>126</v>
      </c>
      <c r="D113" s="1" t="s">
        <v>34</v>
      </c>
      <c r="E113" s="1">
        <v>12367.14</v>
      </c>
    </row>
    <row r="114" spans="1:5" ht="14.25" customHeight="1" x14ac:dyDescent="0.3">
      <c r="A114" s="1" t="s">
        <v>298</v>
      </c>
      <c r="B114" s="1" t="s">
        <v>92</v>
      </c>
      <c r="C114" s="1" t="s">
        <v>100</v>
      </c>
      <c r="D114" s="1" t="s">
        <v>102</v>
      </c>
      <c r="E114" s="1">
        <v>3757.29</v>
      </c>
    </row>
    <row r="115" spans="1:5" ht="14.25" customHeight="1" x14ac:dyDescent="0.3">
      <c r="A115" s="1" t="s">
        <v>299</v>
      </c>
      <c r="B115" s="1" t="s">
        <v>40</v>
      </c>
      <c r="C115" s="1" t="s">
        <v>300</v>
      </c>
      <c r="D115" s="1" t="s">
        <v>34</v>
      </c>
      <c r="E115" s="1">
        <v>1170.0999999999999</v>
      </c>
    </row>
    <row r="116" spans="1:5" ht="14.25" customHeight="1" x14ac:dyDescent="0.3">
      <c r="A116" s="1" t="s">
        <v>301</v>
      </c>
      <c r="B116" s="1" t="s">
        <v>158</v>
      </c>
      <c r="C116" s="1" t="s">
        <v>242</v>
      </c>
      <c r="D116" s="1" t="s">
        <v>110</v>
      </c>
      <c r="E116" s="1">
        <v>6509.39</v>
      </c>
    </row>
    <row r="117" spans="1:5" ht="14.25" customHeight="1" x14ac:dyDescent="0.3">
      <c r="A117" s="1" t="s">
        <v>302</v>
      </c>
      <c r="B117" s="1" t="s">
        <v>29</v>
      </c>
      <c r="C117" s="1" t="s">
        <v>303</v>
      </c>
      <c r="D117" s="1" t="s">
        <v>44</v>
      </c>
      <c r="E117" s="1">
        <v>10916.02</v>
      </c>
    </row>
    <row r="118" spans="1:5" ht="14.25" customHeight="1" x14ac:dyDescent="0.3">
      <c r="A118" s="1" t="s">
        <v>304</v>
      </c>
      <c r="B118" s="1" t="s">
        <v>151</v>
      </c>
      <c r="C118" s="1" t="s">
        <v>305</v>
      </c>
      <c r="D118" s="1" t="s">
        <v>110</v>
      </c>
      <c r="E118" s="1">
        <v>4037.77</v>
      </c>
    </row>
    <row r="119" spans="1:5" ht="14.25" customHeight="1" x14ac:dyDescent="0.3">
      <c r="A119" s="1" t="s">
        <v>104</v>
      </c>
      <c r="B119" s="1" t="s">
        <v>29</v>
      </c>
      <c r="C119" s="1" t="s">
        <v>306</v>
      </c>
      <c r="D119" s="1" t="s">
        <v>34</v>
      </c>
      <c r="E119" s="1">
        <v>11787.1</v>
      </c>
    </row>
    <row r="120" spans="1:5" ht="14.25" customHeight="1" x14ac:dyDescent="0.3">
      <c r="A120" s="1" t="s">
        <v>307</v>
      </c>
      <c r="B120" s="1" t="s">
        <v>40</v>
      </c>
      <c r="C120" s="1" t="s">
        <v>308</v>
      </c>
      <c r="D120" s="1" t="s">
        <v>110</v>
      </c>
      <c r="E120" s="1">
        <v>1228.17</v>
      </c>
    </row>
    <row r="121" spans="1:5" ht="14.25" customHeight="1" x14ac:dyDescent="0.3">
      <c r="A121" s="1" t="s">
        <v>309</v>
      </c>
      <c r="B121" s="1" t="s">
        <v>40</v>
      </c>
      <c r="C121" s="1" t="s">
        <v>310</v>
      </c>
      <c r="D121" s="1" t="s">
        <v>110</v>
      </c>
      <c r="E121" s="1">
        <v>2433.42</v>
      </c>
    </row>
    <row r="122" spans="1:5" ht="14.25" customHeight="1" x14ac:dyDescent="0.3">
      <c r="A122" s="1" t="s">
        <v>311</v>
      </c>
      <c r="B122" s="1" t="s">
        <v>158</v>
      </c>
      <c r="C122" s="1" t="s">
        <v>312</v>
      </c>
      <c r="D122" s="1" t="s">
        <v>102</v>
      </c>
      <c r="E122" s="1">
        <v>14275.57</v>
      </c>
    </row>
    <row r="123" spans="1:5" ht="14.25" customHeight="1" x14ac:dyDescent="0.3">
      <c r="A123" s="1" t="s">
        <v>313</v>
      </c>
      <c r="B123" s="1" t="s">
        <v>182</v>
      </c>
      <c r="C123" s="1" t="s">
        <v>314</v>
      </c>
      <c r="D123" s="1" t="s">
        <v>110</v>
      </c>
      <c r="E123" s="1">
        <v>12543.25</v>
      </c>
    </row>
    <row r="124" spans="1:5" ht="14.25" customHeight="1" x14ac:dyDescent="0.3">
      <c r="A124" s="1" t="s">
        <v>315</v>
      </c>
      <c r="B124" s="1" t="s">
        <v>213</v>
      </c>
      <c r="C124" s="1" t="s">
        <v>316</v>
      </c>
      <c r="D124" s="1" t="s">
        <v>110</v>
      </c>
      <c r="E124" s="1">
        <v>7026.01</v>
      </c>
    </row>
    <row r="125" spans="1:5" ht="14.25" customHeight="1" x14ac:dyDescent="0.3">
      <c r="A125" s="1" t="s">
        <v>128</v>
      </c>
      <c r="B125" s="1" t="s">
        <v>92</v>
      </c>
      <c r="C125" s="1" t="s">
        <v>51</v>
      </c>
      <c r="D125" s="1" t="s">
        <v>102</v>
      </c>
      <c r="E125" s="1">
        <v>11604.3</v>
      </c>
    </row>
    <row r="126" spans="1:5" ht="14.25" customHeight="1" x14ac:dyDescent="0.3">
      <c r="A126" s="1" t="s">
        <v>317</v>
      </c>
      <c r="B126" s="1" t="s">
        <v>172</v>
      </c>
      <c r="C126" s="1" t="s">
        <v>318</v>
      </c>
      <c r="D126" s="1" t="s">
        <v>44</v>
      </c>
      <c r="E126" s="1">
        <v>4481.66</v>
      </c>
    </row>
    <row r="127" spans="1:5" ht="14.25" customHeight="1" x14ac:dyDescent="0.3">
      <c r="A127" s="1" t="s">
        <v>85</v>
      </c>
      <c r="B127" s="1" t="s">
        <v>278</v>
      </c>
      <c r="C127" s="1" t="s">
        <v>319</v>
      </c>
      <c r="D127" s="1" t="s">
        <v>102</v>
      </c>
      <c r="E127" s="1">
        <v>5369.79</v>
      </c>
    </row>
    <row r="128" spans="1:5" ht="14.25" customHeight="1" x14ac:dyDescent="0.3">
      <c r="A128" s="1" t="s">
        <v>320</v>
      </c>
      <c r="B128" s="1" t="s">
        <v>182</v>
      </c>
      <c r="C128" s="1" t="s">
        <v>321</v>
      </c>
      <c r="D128" s="1" t="s">
        <v>34</v>
      </c>
      <c r="E128" s="1">
        <v>2506.42</v>
      </c>
    </row>
    <row r="129" spans="1:5" ht="14.25" customHeight="1" x14ac:dyDescent="0.3">
      <c r="A129" s="1" t="s">
        <v>322</v>
      </c>
      <c r="B129" s="1" t="s">
        <v>40</v>
      </c>
      <c r="C129" s="1" t="s">
        <v>323</v>
      </c>
      <c r="D129" s="1" t="s">
        <v>44</v>
      </c>
      <c r="E129" s="1">
        <v>10743.08</v>
      </c>
    </row>
    <row r="130" spans="1:5" ht="14.25" customHeight="1" x14ac:dyDescent="0.3">
      <c r="A130" s="1" t="s">
        <v>324</v>
      </c>
      <c r="B130" s="1" t="s">
        <v>99</v>
      </c>
      <c r="C130" s="1" t="s">
        <v>147</v>
      </c>
      <c r="D130" s="1" t="s">
        <v>102</v>
      </c>
      <c r="E130" s="1">
        <v>8367.86</v>
      </c>
    </row>
    <row r="131" spans="1:5" ht="14.25" customHeight="1" x14ac:dyDescent="0.3">
      <c r="A131" s="1" t="s">
        <v>63</v>
      </c>
      <c r="B131" s="1" t="s">
        <v>151</v>
      </c>
      <c r="C131" s="1" t="s">
        <v>325</v>
      </c>
      <c r="D131" s="1" t="s">
        <v>44</v>
      </c>
      <c r="E131" s="1">
        <v>12576.92</v>
      </c>
    </row>
    <row r="132" spans="1:5" ht="14.25" customHeight="1" x14ac:dyDescent="0.3">
      <c r="A132" s="1" t="s">
        <v>326</v>
      </c>
      <c r="B132" s="1" t="s">
        <v>151</v>
      </c>
      <c r="C132" s="1" t="s">
        <v>327</v>
      </c>
      <c r="D132" s="1" t="s">
        <v>34</v>
      </c>
      <c r="E132" s="1">
        <v>12922.61</v>
      </c>
    </row>
    <row r="133" spans="1:5" ht="14.25" customHeight="1" x14ac:dyDescent="0.3">
      <c r="A133" s="1" t="s">
        <v>328</v>
      </c>
      <c r="B133" s="1" t="s">
        <v>92</v>
      </c>
      <c r="C133" s="1" t="s">
        <v>303</v>
      </c>
      <c r="D133" s="1" t="s">
        <v>110</v>
      </c>
      <c r="E133" s="1">
        <v>7416.21</v>
      </c>
    </row>
    <row r="134" spans="1:5" ht="14.25" customHeight="1" x14ac:dyDescent="0.3">
      <c r="A134" s="1" t="s">
        <v>329</v>
      </c>
      <c r="B134" s="1" t="s">
        <v>82</v>
      </c>
      <c r="C134" s="1" t="s">
        <v>330</v>
      </c>
      <c r="D134" s="1" t="s">
        <v>110</v>
      </c>
      <c r="E134" s="1">
        <v>12875</v>
      </c>
    </row>
    <row r="135" spans="1:5" ht="14.25" customHeight="1" x14ac:dyDescent="0.3">
      <c r="A135" s="1" t="s">
        <v>331</v>
      </c>
      <c r="B135" s="1" t="s">
        <v>130</v>
      </c>
      <c r="C135" s="1" t="s">
        <v>332</v>
      </c>
      <c r="D135" s="1" t="s">
        <v>44</v>
      </c>
      <c r="E135" s="1">
        <v>7579.33</v>
      </c>
    </row>
    <row r="136" spans="1:5" ht="14.25" customHeight="1" x14ac:dyDescent="0.3">
      <c r="A136" s="1" t="s">
        <v>333</v>
      </c>
      <c r="B136" s="1" t="s">
        <v>76</v>
      </c>
      <c r="C136" s="1" t="s">
        <v>282</v>
      </c>
      <c r="D136" s="1" t="s">
        <v>110</v>
      </c>
      <c r="E136" s="1">
        <v>920.86</v>
      </c>
    </row>
    <row r="137" spans="1:5" ht="14.25" customHeight="1" x14ac:dyDescent="0.3">
      <c r="A137" s="1" t="s">
        <v>334</v>
      </c>
      <c r="B137" s="1" t="s">
        <v>82</v>
      </c>
      <c r="C137" s="1" t="s">
        <v>335</v>
      </c>
      <c r="D137" s="1" t="s">
        <v>44</v>
      </c>
      <c r="E137" s="1">
        <v>12687.33</v>
      </c>
    </row>
    <row r="138" spans="1:5" ht="14.25" customHeight="1" x14ac:dyDescent="0.3">
      <c r="A138" s="1" t="s">
        <v>46</v>
      </c>
      <c r="B138" s="1" t="s">
        <v>182</v>
      </c>
      <c r="C138" s="1" t="s">
        <v>336</v>
      </c>
      <c r="D138" s="1" t="s">
        <v>34</v>
      </c>
      <c r="E138" s="1">
        <v>13650.47</v>
      </c>
    </row>
    <row r="139" spans="1:5" ht="14.25" customHeight="1" x14ac:dyDescent="0.3">
      <c r="A139" s="1" t="s">
        <v>337</v>
      </c>
      <c r="B139" s="1" t="s">
        <v>65</v>
      </c>
      <c r="C139" s="1" t="s">
        <v>338</v>
      </c>
      <c r="D139" s="1" t="s">
        <v>34</v>
      </c>
      <c r="E139" s="1">
        <v>1717.24</v>
      </c>
    </row>
    <row r="140" spans="1:5" ht="14.25" customHeight="1" x14ac:dyDescent="0.3">
      <c r="A140" s="1" t="s">
        <v>339</v>
      </c>
      <c r="B140" s="1" t="s">
        <v>151</v>
      </c>
      <c r="C140" s="1" t="s">
        <v>340</v>
      </c>
      <c r="D140" s="1" t="s">
        <v>110</v>
      </c>
      <c r="E140" s="1">
        <v>3135.07</v>
      </c>
    </row>
    <row r="141" spans="1:5" ht="14.25" customHeight="1" x14ac:dyDescent="0.3">
      <c r="A141" s="1" t="s">
        <v>341</v>
      </c>
      <c r="B141" s="1" t="s">
        <v>76</v>
      </c>
      <c r="C141" s="1" t="s">
        <v>342</v>
      </c>
      <c r="D141" s="1" t="s">
        <v>102</v>
      </c>
      <c r="E141" s="1">
        <v>3569.07</v>
      </c>
    </row>
    <row r="142" spans="1:5" ht="14.25" customHeight="1" x14ac:dyDescent="0.3">
      <c r="A142" s="1" t="s">
        <v>343</v>
      </c>
      <c r="B142" s="1" t="s">
        <v>82</v>
      </c>
      <c r="C142" s="1" t="s">
        <v>94</v>
      </c>
      <c r="D142" s="1" t="s">
        <v>110</v>
      </c>
      <c r="E142" s="1">
        <v>4534.72</v>
      </c>
    </row>
    <row r="143" spans="1:5" ht="14.25" customHeight="1" x14ac:dyDescent="0.3">
      <c r="A143" s="1" t="s">
        <v>344</v>
      </c>
      <c r="B143" s="1" t="s">
        <v>130</v>
      </c>
      <c r="C143" s="1" t="s">
        <v>292</v>
      </c>
      <c r="D143" s="1" t="s">
        <v>102</v>
      </c>
      <c r="E143" s="1">
        <v>12606.21</v>
      </c>
    </row>
    <row r="144" spans="1:5" ht="14.25" customHeight="1" x14ac:dyDescent="0.3">
      <c r="A144" s="1" t="s">
        <v>345</v>
      </c>
      <c r="B144" s="1" t="s">
        <v>158</v>
      </c>
      <c r="C144" s="1" t="s">
        <v>180</v>
      </c>
      <c r="D144" s="1" t="s">
        <v>34</v>
      </c>
      <c r="E144" s="1">
        <v>14998.66</v>
      </c>
    </row>
    <row r="145" spans="1:5" ht="14.25" customHeight="1" x14ac:dyDescent="0.3">
      <c r="A145" s="1" t="s">
        <v>346</v>
      </c>
      <c r="B145" s="1" t="s">
        <v>82</v>
      </c>
      <c r="C145" s="1" t="s">
        <v>43</v>
      </c>
      <c r="D145" s="1" t="s">
        <v>34</v>
      </c>
      <c r="E145" s="1">
        <v>11827.88</v>
      </c>
    </row>
    <row r="146" spans="1:5" ht="14.25" customHeight="1" x14ac:dyDescent="0.3">
      <c r="A146" s="1" t="s">
        <v>347</v>
      </c>
      <c r="B146" s="1" t="s">
        <v>29</v>
      </c>
      <c r="C146" s="1" t="s">
        <v>348</v>
      </c>
      <c r="D146" s="1" t="s">
        <v>34</v>
      </c>
      <c r="E146" s="1">
        <v>14269.37</v>
      </c>
    </row>
    <row r="147" spans="1:5" ht="14.25" customHeight="1" x14ac:dyDescent="0.3">
      <c r="A147" s="1" t="s">
        <v>349</v>
      </c>
      <c r="B147" s="1" t="s">
        <v>40</v>
      </c>
      <c r="C147" s="1" t="s">
        <v>80</v>
      </c>
      <c r="D147" s="1" t="s">
        <v>44</v>
      </c>
      <c r="E147" s="1">
        <v>3958.9</v>
      </c>
    </row>
    <row r="148" spans="1:5" ht="14.25" customHeight="1" x14ac:dyDescent="0.3">
      <c r="A148" s="1" t="s">
        <v>350</v>
      </c>
      <c r="B148" s="1" t="s">
        <v>158</v>
      </c>
      <c r="C148" s="1" t="s">
        <v>351</v>
      </c>
      <c r="D148" s="1" t="s">
        <v>44</v>
      </c>
      <c r="E148" s="1">
        <v>7242.99</v>
      </c>
    </row>
    <row r="149" spans="1:5" ht="14.25" customHeight="1" x14ac:dyDescent="0.3">
      <c r="A149" s="1" t="s">
        <v>352</v>
      </c>
      <c r="B149" s="1" t="s">
        <v>76</v>
      </c>
      <c r="C149" s="1" t="s">
        <v>353</v>
      </c>
      <c r="D149" s="1" t="s">
        <v>44</v>
      </c>
      <c r="E149" s="1">
        <v>9285.44</v>
      </c>
    </row>
    <row r="150" spans="1:5" ht="14.25" customHeight="1" x14ac:dyDescent="0.3">
      <c r="A150" s="1" t="s">
        <v>354</v>
      </c>
      <c r="B150" s="1" t="s">
        <v>108</v>
      </c>
      <c r="C150" s="1" t="s">
        <v>351</v>
      </c>
      <c r="D150" s="1" t="s">
        <v>102</v>
      </c>
      <c r="E150" s="1">
        <v>2067.4299999999998</v>
      </c>
    </row>
    <row r="151" spans="1:5" ht="14.25" customHeight="1" x14ac:dyDescent="0.3">
      <c r="A151" s="1" t="s">
        <v>355</v>
      </c>
      <c r="B151" s="1" t="s">
        <v>231</v>
      </c>
      <c r="C151" s="1" t="s">
        <v>356</v>
      </c>
      <c r="D151" s="1" t="s">
        <v>110</v>
      </c>
      <c r="E151" s="1">
        <v>14151.32</v>
      </c>
    </row>
    <row r="152" spans="1:5" ht="14.25" customHeight="1" x14ac:dyDescent="0.3"/>
    <row r="153" spans="1:5" ht="14.25" customHeight="1" x14ac:dyDescent="0.3"/>
    <row r="154" spans="1:5" ht="14.25" customHeight="1" x14ac:dyDescent="0.3"/>
    <row r="155" spans="1:5" ht="14.25" customHeight="1" x14ac:dyDescent="0.3"/>
    <row r="156" spans="1:5" ht="14.25" customHeight="1" x14ac:dyDescent="0.3"/>
    <row r="157" spans="1:5" ht="14.25" customHeight="1" x14ac:dyDescent="0.3"/>
    <row r="158" spans="1:5" ht="14.25" customHeight="1" x14ac:dyDescent="0.3"/>
    <row r="159" spans="1:5" ht="14.25" customHeight="1" x14ac:dyDescent="0.3"/>
    <row r="160" spans="1:5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00"/>
  <sheetViews>
    <sheetView tabSelected="1" topLeftCell="C1" workbookViewId="0">
      <selection activeCell="N2" sqref="N2"/>
    </sheetView>
  </sheetViews>
  <sheetFormatPr defaultColWidth="14.44140625" defaultRowHeight="15" customHeight="1" x14ac:dyDescent="0.3"/>
  <cols>
    <col min="1" max="1" width="11" customWidth="1"/>
    <col min="2" max="2" width="16" customWidth="1"/>
    <col min="3" max="3" width="13" customWidth="1"/>
    <col min="4" max="4" width="15.44140625" customWidth="1"/>
    <col min="5" max="5" width="11" customWidth="1"/>
    <col min="6" max="6" width="16.109375" bestFit="1" customWidth="1"/>
    <col min="7" max="7" width="13.44140625" bestFit="1" customWidth="1"/>
    <col min="8" max="8" width="17.88671875" bestFit="1" customWidth="1"/>
    <col min="9" max="10" width="8.6640625" customWidth="1"/>
    <col min="11" max="11" width="16" customWidth="1"/>
    <col min="12" max="12" width="16.6640625" customWidth="1"/>
    <col min="13" max="13" width="11.6640625" style="4" bestFit="1" customWidth="1"/>
    <col min="14" max="14" width="8.6640625" customWidth="1"/>
    <col min="15" max="15" width="14.77734375" customWidth="1"/>
    <col min="16" max="16" width="7.5546875" customWidth="1"/>
    <col min="17" max="18" width="11.6640625" bestFit="1" customWidth="1"/>
    <col min="19" max="27" width="8.6640625" customWidth="1"/>
  </cols>
  <sheetData>
    <row r="1" spans="1:18" ht="14.25" customHeight="1" x14ac:dyDescent="0.3">
      <c r="A1" s="2" t="s">
        <v>0</v>
      </c>
      <c r="B1" s="2" t="s">
        <v>3</v>
      </c>
      <c r="C1" s="2" t="s">
        <v>9</v>
      </c>
      <c r="D1" s="2" t="s">
        <v>11</v>
      </c>
      <c r="E1" s="2" t="s">
        <v>2</v>
      </c>
      <c r="F1" s="2" t="s">
        <v>357</v>
      </c>
      <c r="G1" s="2" t="s">
        <v>358</v>
      </c>
      <c r="H1" s="2" t="s">
        <v>359</v>
      </c>
      <c r="K1" s="3" t="s">
        <v>360</v>
      </c>
      <c r="L1" s="10" t="s">
        <v>362</v>
      </c>
      <c r="M1" s="11" t="s">
        <v>363</v>
      </c>
      <c r="O1" s="3"/>
      <c r="P1" s="10" t="s">
        <v>364</v>
      </c>
      <c r="Q1" s="10" t="s">
        <v>362</v>
      </c>
      <c r="R1" s="11" t="s">
        <v>363</v>
      </c>
    </row>
    <row r="2" spans="1:18" ht="14.25" customHeight="1" x14ac:dyDescent="0.3">
      <c r="A2" s="1" t="s">
        <v>12</v>
      </c>
      <c r="B2" s="1" t="s">
        <v>13</v>
      </c>
      <c r="C2" s="1" t="s">
        <v>14</v>
      </c>
      <c r="D2" s="1">
        <v>85.34</v>
      </c>
      <c r="E2" s="1" t="s">
        <v>10</v>
      </c>
      <c r="F2" s="3">
        <f>IF(Table2[[#This Row],[Currency]]="INR",Table2[[#This Row],[ReturnAmount]],Table2[[#This Row],[ReturnAmount]]*FXRates!$B$3)</f>
        <v>7100.2880000000005</v>
      </c>
      <c r="G2" s="3" t="str">
        <f>_xlfn.XLOOKUP(Table2[[#This Row],[TransactionID]],Table1[TransactionID],Table1[CustomerName],"NOT FOUND")</f>
        <v>Neha Kapoor</v>
      </c>
      <c r="H2" s="3" t="str">
        <f>TRIM(PROPER(Table2[[#This Row],[Customer]]))</f>
        <v>Neha Kapoor</v>
      </c>
      <c r="K2" t="str" cm="1">
        <f t="array" ref="K2:K14">_xlfn.UNIQUE(Table2[Cleaned names])</f>
        <v>Neha Kapoor</v>
      </c>
      <c r="L2" s="6" t="s">
        <v>40</v>
      </c>
      <c r="M2" s="9">
        <f>SUMIF(Table2[Cleaned names],L2,Table2[currency in INR])</f>
        <v>23332.780000000002</v>
      </c>
      <c r="P2" s="12">
        <v>1</v>
      </c>
      <c r="Q2" s="6" t="s">
        <v>40</v>
      </c>
      <c r="R2" s="9">
        <f>SUMIF(Table2[Cleaned names],Q2,Table2[currency in INR])</f>
        <v>23332.780000000002</v>
      </c>
    </row>
    <row r="3" spans="1:18" ht="14.25" customHeight="1" x14ac:dyDescent="0.3">
      <c r="A3" s="1" t="s">
        <v>15</v>
      </c>
      <c r="B3" s="1" t="s">
        <v>16</v>
      </c>
      <c r="C3" s="1" t="s">
        <v>17</v>
      </c>
      <c r="D3" s="1">
        <v>6693.01</v>
      </c>
      <c r="E3" s="1" t="s">
        <v>8</v>
      </c>
      <c r="F3" s="3">
        <f>IF(Table2[[#This Row],[Currency]]="INR",Table2[[#This Row],[ReturnAmount]],Table2[[#This Row],[ReturnAmount]]*FXRates!$B$3)</f>
        <v>6693.01</v>
      </c>
      <c r="G3" s="3" t="str">
        <f>_xlfn.XLOOKUP(Table2[[#This Row],[TransactionID]],Table1[TransactionID],Table1[CustomerName],"NOT FOUND")</f>
        <v>Manish Chawla</v>
      </c>
      <c r="H3" s="3" t="str">
        <f>TRIM(PROPER(Table2[[#This Row],[Customer]]))</f>
        <v>Manish Chawla</v>
      </c>
      <c r="K3" t="str">
        <v>Manish Chawla</v>
      </c>
      <c r="L3" s="5" t="s">
        <v>158</v>
      </c>
      <c r="M3" s="9">
        <f>SUMIF(Table2[Cleaned names],L3,Table2[currency in INR])</f>
        <v>20062.538000000004</v>
      </c>
      <c r="P3" s="12">
        <v>2</v>
      </c>
      <c r="Q3" s="5" t="s">
        <v>158</v>
      </c>
      <c r="R3" s="9">
        <f>SUMIF(Table2[Cleaned names],Q3,Table2[currency in INR])</f>
        <v>20062.538000000004</v>
      </c>
    </row>
    <row r="4" spans="1:18" ht="14.25" customHeight="1" x14ac:dyDescent="0.3">
      <c r="A4" s="1" t="s">
        <v>18</v>
      </c>
      <c r="B4" s="1" t="s">
        <v>19</v>
      </c>
      <c r="C4" s="1" t="s">
        <v>20</v>
      </c>
      <c r="D4" s="1">
        <v>6887.85</v>
      </c>
      <c r="E4" s="1" t="s">
        <v>8</v>
      </c>
      <c r="F4" s="3">
        <f>IF(Table2[[#This Row],[Currency]]="INR",Table2[[#This Row],[ReturnAmount]],Table2[[#This Row],[ReturnAmount]]*FXRates!$B$3)</f>
        <v>6887.85</v>
      </c>
      <c r="G4" s="3" t="str">
        <f>_xlfn.XLOOKUP(Table2[[#This Row],[TransactionID]],Table1[TransactionID],Table1[CustomerName],"NOT FOUND")</f>
        <v>Vikram Singh</v>
      </c>
      <c r="H4" s="3" t="str">
        <f>TRIM(PROPER(Table2[[#This Row],[Customer]]))</f>
        <v>Vikram Singh</v>
      </c>
      <c r="K4" t="str">
        <v>Vikram Singh</v>
      </c>
      <c r="L4" s="5" t="s">
        <v>151</v>
      </c>
      <c r="M4" s="9">
        <f>SUMIF(Table2[Cleaned names],L4,Table2[currency in INR])</f>
        <v>17106.3</v>
      </c>
      <c r="P4" s="12">
        <v>3</v>
      </c>
      <c r="Q4" s="5" t="s">
        <v>151</v>
      </c>
      <c r="R4" s="9">
        <f>SUMIF(Table2[Cleaned names],Q4,Table2[currency in INR])</f>
        <v>17106.3</v>
      </c>
    </row>
    <row r="5" spans="1:18" ht="14.25" customHeight="1" x14ac:dyDescent="0.3">
      <c r="A5" s="1" t="s">
        <v>22</v>
      </c>
      <c r="B5" s="1" t="s">
        <v>23</v>
      </c>
      <c r="C5" s="1" t="s">
        <v>24</v>
      </c>
      <c r="D5" s="1">
        <v>3881.02</v>
      </c>
      <c r="E5" s="1" t="s">
        <v>8</v>
      </c>
      <c r="F5" s="3">
        <f>IF(Table2[[#This Row],[Currency]]="INR",Table2[[#This Row],[ReturnAmount]],Table2[[#This Row],[ReturnAmount]]*FXRates!$B$3)</f>
        <v>3881.02</v>
      </c>
      <c r="G5" s="3" t="str">
        <f>_xlfn.XLOOKUP(Table2[[#This Row],[TransactionID]],Table1[TransactionID],Table1[CustomerName],"NOT FOUND")</f>
        <v>Arjun Reddy</v>
      </c>
      <c r="H5" s="3" t="str">
        <f>TRIM(PROPER(Table2[[#This Row],[Customer]]))</f>
        <v>Arjun Reddy</v>
      </c>
      <c r="K5" t="str">
        <v>Arjun Reddy</v>
      </c>
      <c r="L5" s="5" t="s">
        <v>92</v>
      </c>
      <c r="M5" s="9">
        <f>SUMIF(Table2[Cleaned names],L5,Table2[currency in INR])</f>
        <v>16536.060000000001</v>
      </c>
      <c r="P5" s="12">
        <v>4</v>
      </c>
      <c r="Q5" s="5" t="s">
        <v>92</v>
      </c>
      <c r="R5" s="9">
        <f>SUMIF(Table2[Cleaned names],Q5,Table2[currency in INR])</f>
        <v>16536.060000000001</v>
      </c>
    </row>
    <row r="6" spans="1:18" ht="14.25" customHeight="1" x14ac:dyDescent="0.3">
      <c r="A6" s="1" t="s">
        <v>25</v>
      </c>
      <c r="B6" s="1" t="s">
        <v>26</v>
      </c>
      <c r="C6" s="1" t="s">
        <v>27</v>
      </c>
      <c r="D6" s="1">
        <v>5511.41</v>
      </c>
      <c r="E6" s="1" t="s">
        <v>8</v>
      </c>
      <c r="F6" s="3">
        <f>IF(Table2[[#This Row],[Currency]]="INR",Table2[[#This Row],[ReturnAmount]],Table2[[#This Row],[ReturnAmount]]*FXRates!$B$3)</f>
        <v>5511.41</v>
      </c>
      <c r="G6" s="3" t="str">
        <f>_xlfn.XLOOKUP(Table2[[#This Row],[TransactionID]],Table1[TransactionID],Table1[CustomerName],"NOT FOUND")</f>
        <v>Sneha Iyer</v>
      </c>
      <c r="H6" s="3" t="str">
        <f>TRIM(PROPER(Table2[[#This Row],[Customer]]))</f>
        <v>Sneha Iyer</v>
      </c>
      <c r="K6" t="str">
        <v>Sneha Iyer</v>
      </c>
      <c r="L6" s="6" t="s">
        <v>130</v>
      </c>
      <c r="M6" s="9">
        <f>SUMIF(Table2[Cleaned names],L6,Table2[currency in INR])</f>
        <v>15645.960000000001</v>
      </c>
      <c r="P6" s="12">
        <v>5</v>
      </c>
      <c r="Q6" s="6" t="s">
        <v>130</v>
      </c>
      <c r="R6" s="9">
        <f>SUMIF(Table2[Cleaned names],Q6,Table2[currency in INR])</f>
        <v>15645.960000000001</v>
      </c>
    </row>
    <row r="7" spans="1:18" ht="14.25" customHeight="1" x14ac:dyDescent="0.3">
      <c r="A7" s="1" t="s">
        <v>30</v>
      </c>
      <c r="B7" s="1" t="s">
        <v>31</v>
      </c>
      <c r="C7" s="1" t="s">
        <v>32</v>
      </c>
      <c r="D7" s="1">
        <v>6882.15</v>
      </c>
      <c r="E7" s="1" t="s">
        <v>8</v>
      </c>
      <c r="F7" s="3">
        <f>IF(Table2[[#This Row],[Currency]]="INR",Table2[[#This Row],[ReturnAmount]],Table2[[#This Row],[ReturnAmount]]*FXRates!$B$3)</f>
        <v>6882.15</v>
      </c>
      <c r="G7" s="3" t="str">
        <f>_xlfn.XLOOKUP(Table2[[#This Row],[TransactionID]],Table1[TransactionID],Table1[CustomerName],"NOT FOUND")</f>
        <v>Arjun Reddy</v>
      </c>
      <c r="H7" s="3" t="str">
        <f>TRIM(PROPER(Table2[[#This Row],[Customer]]))</f>
        <v>Arjun Reddy</v>
      </c>
      <c r="K7" t="str">
        <v>Ishita Bose</v>
      </c>
      <c r="L7" s="6" t="s">
        <v>29</v>
      </c>
      <c r="M7" s="9">
        <f>SUMIF(Table2[Cleaned names],L7,Table2[currency in INR])</f>
        <v>12359.84</v>
      </c>
      <c r="P7" s="12">
        <v>6</v>
      </c>
      <c r="Q7" s="6" t="s">
        <v>29</v>
      </c>
      <c r="R7" s="9">
        <f>SUMIF(Table2[Cleaned names],Q7,Table2[currency in INR])</f>
        <v>12359.84</v>
      </c>
    </row>
    <row r="8" spans="1:18" ht="14.25" customHeight="1" x14ac:dyDescent="0.3">
      <c r="A8" s="1" t="s">
        <v>35</v>
      </c>
      <c r="B8" s="1" t="s">
        <v>36</v>
      </c>
      <c r="C8" s="1" t="s">
        <v>37</v>
      </c>
      <c r="D8" s="1">
        <v>3161.19</v>
      </c>
      <c r="E8" s="1" t="s">
        <v>8</v>
      </c>
      <c r="F8" s="3">
        <f>IF(Table2[[#This Row],[Currency]]="INR",Table2[[#This Row],[ReturnAmount]],Table2[[#This Row],[ReturnAmount]]*FXRates!$B$3)</f>
        <v>3161.19</v>
      </c>
      <c r="G8" s="3" t="str">
        <f>_xlfn.XLOOKUP(Table2[[#This Row],[TransactionID]],Table1[TransactionID],Table1[CustomerName],"NOT FOUND")</f>
        <v>Ishita Bose</v>
      </c>
      <c r="H8" s="3" t="str">
        <f>TRIM(PROPER(Table2[[#This Row],[Customer]]))</f>
        <v>Ishita Bose</v>
      </c>
      <c r="K8" t="str">
        <v>Siddharth Jain</v>
      </c>
      <c r="L8" s="5" t="s">
        <v>213</v>
      </c>
      <c r="M8" s="8">
        <f ca="1">SUMIF(H:H,L8,Table2[currency in INR])</f>
        <v>6959.2</v>
      </c>
      <c r="P8" s="12">
        <v>7</v>
      </c>
      <c r="Q8" s="5" t="s">
        <v>213</v>
      </c>
      <c r="R8" s="8">
        <f ca="1">SUMIF(L:L,Q8,Table2[currency in INR])</f>
        <v>7102.4</v>
      </c>
    </row>
    <row r="9" spans="1:18" ht="14.25" customHeight="1" x14ac:dyDescent="0.3">
      <c r="A9" s="1" t="s">
        <v>39</v>
      </c>
      <c r="B9" s="1" t="s">
        <v>41</v>
      </c>
      <c r="C9" s="1" t="s">
        <v>42</v>
      </c>
      <c r="D9" s="1">
        <v>7102.4</v>
      </c>
      <c r="E9" s="1" t="s">
        <v>8</v>
      </c>
      <c r="F9" s="3">
        <f>IF(Table2[[#This Row],[Currency]]="INR",Table2[[#This Row],[ReturnAmount]],Table2[[#This Row],[ReturnAmount]]*FXRates!$B$3)</f>
        <v>7102.4</v>
      </c>
      <c r="G9" s="3" t="str">
        <f>_xlfn.XLOOKUP(Table2[[#This Row],[TransactionID]],Table1[TransactionID],Table1[CustomerName],"NOT FOUND")</f>
        <v>Sneha Iyer</v>
      </c>
      <c r="H9" s="3" t="str">
        <f>TRIM(PROPER(Table2[[#This Row],[Customer]]))</f>
        <v>Sneha Iyer</v>
      </c>
      <c r="K9" t="str">
        <v>Rahul Mehta</v>
      </c>
      <c r="L9" s="6" t="s">
        <v>278</v>
      </c>
      <c r="M9" s="9">
        <f>SUMIF(Table2[Cleaned names],L9,Table2[currency in INR])</f>
        <v>6002.16</v>
      </c>
      <c r="P9" s="12">
        <v>8</v>
      </c>
      <c r="Q9" s="6" t="s">
        <v>278</v>
      </c>
      <c r="R9" s="9">
        <f>SUMIF(Table2[Cleaned names],Q9,Table2[currency in INR])</f>
        <v>6002.16</v>
      </c>
    </row>
    <row r="10" spans="1:18" ht="14.25" customHeight="1" x14ac:dyDescent="0.3">
      <c r="A10" s="1" t="s">
        <v>45</v>
      </c>
      <c r="B10" s="1" t="s">
        <v>46</v>
      </c>
      <c r="C10" s="1" t="s">
        <v>47</v>
      </c>
      <c r="D10" s="1">
        <v>4374.7</v>
      </c>
      <c r="E10" s="1" t="s">
        <v>8</v>
      </c>
      <c r="F10" s="3">
        <f>IF(Table2[[#This Row],[Currency]]="INR",Table2[[#This Row],[ReturnAmount]],Table2[[#This Row],[ReturnAmount]]*FXRates!$B$3)</f>
        <v>4374.7</v>
      </c>
      <c r="G10" s="3" t="str">
        <f>_xlfn.XLOOKUP(Table2[[#This Row],[TransactionID]],Table1[TransactionID],Table1[CustomerName],"NOT FOUND")</f>
        <v>Siddharth Jain</v>
      </c>
      <c r="H10" s="3" t="str">
        <f>TRIM(PROPER(Table2[[#This Row],[Customer]]))</f>
        <v>Siddharth Jain</v>
      </c>
      <c r="K10" t="str">
        <v>Pooja Desai</v>
      </c>
      <c r="L10" s="5" t="s">
        <v>182</v>
      </c>
      <c r="M10" s="9">
        <f>SUMIF(Table2[Cleaned names],L10,Table2[currency in INR])</f>
        <v>4374.7</v>
      </c>
      <c r="P10" s="12">
        <v>9</v>
      </c>
      <c r="Q10" s="5" t="s">
        <v>182</v>
      </c>
      <c r="R10" s="9">
        <f>SUMIF(Table2[Cleaned names],Q10,Table2[currency in INR])</f>
        <v>4374.7</v>
      </c>
    </row>
    <row r="11" spans="1:18" ht="14.25" customHeight="1" x14ac:dyDescent="0.3">
      <c r="A11" s="1" t="s">
        <v>49</v>
      </c>
      <c r="B11" s="1" t="s">
        <v>50</v>
      </c>
      <c r="C11" s="1" t="s">
        <v>51</v>
      </c>
      <c r="D11" s="1">
        <v>5900.56</v>
      </c>
      <c r="E11" s="1" t="s">
        <v>8</v>
      </c>
      <c r="F11" s="3">
        <f>IF(Table2[[#This Row],[Currency]]="INR",Table2[[#This Row],[ReturnAmount]],Table2[[#This Row],[ReturnAmount]]*FXRates!$B$3)</f>
        <v>5900.56</v>
      </c>
      <c r="G11" s="3" t="str">
        <f>_xlfn.XLOOKUP(Table2[[#This Row],[TransactionID]],Table1[TransactionID],Table1[CustomerName],"NOT FOUND")</f>
        <v>Neha Kapoor</v>
      </c>
      <c r="H11" s="3" t="str">
        <f>TRIM(PROPER(Table2[[#This Row],[Customer]]))</f>
        <v>Neha Kapoor</v>
      </c>
      <c r="K11" t="str">
        <v>Priya Sharma</v>
      </c>
      <c r="L11" s="5" t="s">
        <v>108</v>
      </c>
      <c r="M11" s="9">
        <f>SUMIF(Table2[Cleaned names],L11,Table2[currency in INR])</f>
        <v>3161.19</v>
      </c>
      <c r="P11" s="12">
        <v>10</v>
      </c>
      <c r="Q11" s="5" t="s">
        <v>108</v>
      </c>
      <c r="R11" s="9">
        <f>SUMIF(Table2[Cleaned names],Q11,Table2[currency in INR])</f>
        <v>3161.19</v>
      </c>
    </row>
    <row r="12" spans="1:18" ht="14.25" customHeight="1" x14ac:dyDescent="0.3">
      <c r="A12" s="1" t="s">
        <v>53</v>
      </c>
      <c r="B12" s="1" t="s">
        <v>54</v>
      </c>
      <c r="C12" s="1" t="s">
        <v>55</v>
      </c>
      <c r="D12" s="1">
        <v>2302.4299999999998</v>
      </c>
      <c r="E12" s="1" t="s">
        <v>8</v>
      </c>
      <c r="F12" s="3">
        <f>IF(Table2[[#This Row],[Currency]]="INR",Table2[[#This Row],[ReturnAmount]],Table2[[#This Row],[ReturnAmount]]*FXRates!$B$3)</f>
        <v>2302.4299999999998</v>
      </c>
      <c r="G12" s="3" t="str">
        <f>_xlfn.XLOOKUP(Table2[[#This Row],[TransactionID]],Table1[TransactionID],Table1[CustomerName],"NOT FOUND")</f>
        <v>Sneha Iyer</v>
      </c>
      <c r="H12" s="3" t="str">
        <f>TRIM(PROPER(Table2[[#This Row],[Customer]]))</f>
        <v>Sneha Iyer</v>
      </c>
      <c r="K12" t="str">
        <v>Rohan Gupta</v>
      </c>
      <c r="L12" s="6" t="s">
        <v>58</v>
      </c>
      <c r="M12" s="9">
        <f>SUMIF(Table2[Cleaned names],L12,Table2[currency in INR])</f>
        <v>3078.18</v>
      </c>
      <c r="P12" s="12">
        <v>11</v>
      </c>
      <c r="Q12" s="6" t="s">
        <v>58</v>
      </c>
      <c r="R12" s="9">
        <f>SUMIF(Table2[Cleaned names],Q12,Table2[currency in INR])</f>
        <v>3078.18</v>
      </c>
    </row>
    <row r="13" spans="1:18" ht="14.25" customHeight="1" x14ac:dyDescent="0.3">
      <c r="A13" s="1" t="s">
        <v>57</v>
      </c>
      <c r="B13" s="1" t="s">
        <v>59</v>
      </c>
      <c r="C13" s="1" t="s">
        <v>61</v>
      </c>
      <c r="D13" s="1">
        <v>4181.16</v>
      </c>
      <c r="E13" s="1" t="s">
        <v>8</v>
      </c>
      <c r="F13" s="3">
        <f>IF(Table2[[#This Row],[Currency]]="INR",Table2[[#This Row],[ReturnAmount]],Table2[[#This Row],[ReturnAmount]]*FXRates!$B$3)</f>
        <v>4181.16</v>
      </c>
      <c r="G13" s="3" t="str">
        <f>_xlfn.XLOOKUP(Table2[[#This Row],[TransactionID]],Table1[TransactionID],Table1[CustomerName],"NOT FOUND")</f>
        <v>Arjun Reddy</v>
      </c>
      <c r="H13" s="3" t="str">
        <f>TRIM(PROPER(Table2[[#This Row],[Customer]]))</f>
        <v>Arjun Reddy</v>
      </c>
      <c r="K13" t="str">
        <v>Amit Verma</v>
      </c>
      <c r="L13" s="6" t="s">
        <v>361</v>
      </c>
      <c r="M13" s="9">
        <f>SUMIF(Table2[Cleaned names],L13,Table2[currency in INR])</f>
        <v>1200</v>
      </c>
      <c r="P13" s="12">
        <v>12</v>
      </c>
      <c r="Q13" s="6" t="s">
        <v>361</v>
      </c>
      <c r="R13" s="9">
        <f>SUMIF(Table2[Cleaned names],Q13,Table2[currency in INR])</f>
        <v>1200</v>
      </c>
    </row>
    <row r="14" spans="1:18" ht="14.25" customHeight="1" x14ac:dyDescent="0.3">
      <c r="A14" s="1" t="s">
        <v>62</v>
      </c>
      <c r="B14" s="1" t="s">
        <v>63</v>
      </c>
      <c r="C14" s="1" t="s">
        <v>67</v>
      </c>
      <c r="D14" s="1">
        <v>2161.9699999999998</v>
      </c>
      <c r="E14" s="1" t="s">
        <v>8</v>
      </c>
      <c r="F14" s="3">
        <f>IF(Table2[[#This Row],[Currency]]="INR",Table2[[#This Row],[ReturnAmount]],Table2[[#This Row],[ReturnAmount]]*FXRates!$B$3)</f>
        <v>2161.9699999999998</v>
      </c>
      <c r="G14" s="3" t="str">
        <f>_xlfn.XLOOKUP(Table2[[#This Row],[TransactionID]],Table1[TransactionID],Table1[CustomerName],"NOT FOUND")</f>
        <v>Arjun Reddy</v>
      </c>
      <c r="H14" s="3" t="str">
        <f>TRIM(PROPER(Table2[[#This Row],[Customer]]))</f>
        <v>Arjun Reddy</v>
      </c>
      <c r="K14" t="str">
        <v>Not Found</v>
      </c>
      <c r="L14" s="7" t="s">
        <v>149</v>
      </c>
      <c r="M14" s="9">
        <f>SUMIF(Table2[Cleaned names],L14,Table2[currency in INR])</f>
        <v>908.95</v>
      </c>
      <c r="P14" s="12">
        <v>13</v>
      </c>
      <c r="Q14" s="7" t="s">
        <v>149</v>
      </c>
      <c r="R14" s="9">
        <f>SUMIF(Table2[Cleaned names],Q14,Table2[currency in INR])</f>
        <v>908.95</v>
      </c>
    </row>
    <row r="15" spans="1:18" ht="14.25" customHeight="1" x14ac:dyDescent="0.3">
      <c r="A15" s="1" t="s">
        <v>70</v>
      </c>
      <c r="B15" s="1" t="s">
        <v>71</v>
      </c>
      <c r="C15" s="1" t="s">
        <v>72</v>
      </c>
      <c r="D15" s="1">
        <v>4861.67</v>
      </c>
      <c r="E15" s="1" t="s">
        <v>8</v>
      </c>
      <c r="F15" s="3">
        <f>IF(Table2[[#This Row],[Currency]]="INR",Table2[[#This Row],[ReturnAmount]],Table2[[#This Row],[ReturnAmount]]*FXRates!$B$3)</f>
        <v>4861.67</v>
      </c>
      <c r="G15" s="3" t="str">
        <f>_xlfn.XLOOKUP(Table2[[#This Row],[TransactionID]],Table1[TransactionID],Table1[CustomerName],"NOT FOUND")</f>
        <v>VIKRAM SINGH</v>
      </c>
      <c r="H15" s="3" t="str">
        <f>TRIM(PROPER(Table2[[#This Row],[Customer]]))</f>
        <v>Vikram Singh</v>
      </c>
    </row>
    <row r="16" spans="1:18" ht="14.25" customHeight="1" x14ac:dyDescent="0.3">
      <c r="A16" s="1" t="s">
        <v>73</v>
      </c>
      <c r="B16" s="1" t="s">
        <v>56</v>
      </c>
      <c r="C16" s="1" t="s">
        <v>75</v>
      </c>
      <c r="D16" s="1">
        <v>3078.18</v>
      </c>
      <c r="E16" s="1" t="s">
        <v>8</v>
      </c>
      <c r="F16" s="3">
        <f>IF(Table2[[#This Row],[Currency]]="INR",Table2[[#This Row],[ReturnAmount]],Table2[[#This Row],[ReturnAmount]]*FXRates!$B$3)</f>
        <v>3078.18</v>
      </c>
      <c r="G16" s="3" t="str">
        <f>_xlfn.XLOOKUP(Table2[[#This Row],[TransactionID]],Table1[TransactionID],Table1[CustomerName],"NOT FOUND")</f>
        <v>Rahul Mehta</v>
      </c>
      <c r="H16" s="3" t="str">
        <f>TRIM(PROPER(Table2[[#This Row],[Customer]]))</f>
        <v>Rahul Mehta</v>
      </c>
    </row>
    <row r="17" spans="1:8" ht="14.25" customHeight="1" x14ac:dyDescent="0.3">
      <c r="A17" s="1" t="s">
        <v>78</v>
      </c>
      <c r="B17" s="1" t="s">
        <v>79</v>
      </c>
      <c r="C17" s="1" t="s">
        <v>80</v>
      </c>
      <c r="D17" s="1">
        <v>5771.41</v>
      </c>
      <c r="E17" s="1" t="s">
        <v>8</v>
      </c>
      <c r="F17" s="3">
        <f>IF(Table2[[#This Row],[Currency]]="INR",Table2[[#This Row],[ReturnAmount]],Table2[[#This Row],[ReturnAmount]]*FXRates!$B$3)</f>
        <v>5771.41</v>
      </c>
      <c r="G17" s="3" t="str">
        <f>_xlfn.XLOOKUP(Table2[[#This Row],[TransactionID]],Table1[TransactionID],Table1[CustomerName],"NOT FOUND")</f>
        <v>Pooja Desai</v>
      </c>
      <c r="H17" s="3" t="str">
        <f>TRIM(PROPER(Table2[[#This Row],[Customer]]))</f>
        <v>Pooja Desai</v>
      </c>
    </row>
    <row r="18" spans="1:8" ht="14.25" customHeight="1" x14ac:dyDescent="0.3">
      <c r="A18" s="1" t="s">
        <v>83</v>
      </c>
      <c r="B18" s="1" t="s">
        <v>85</v>
      </c>
      <c r="C18" s="1" t="s">
        <v>86</v>
      </c>
      <c r="D18" s="1">
        <v>2229.04</v>
      </c>
      <c r="E18" s="1" t="s">
        <v>8</v>
      </c>
      <c r="F18" s="3">
        <f>IF(Table2[[#This Row],[Currency]]="INR",Table2[[#This Row],[ReturnAmount]],Table2[[#This Row],[ReturnAmount]]*FXRates!$B$3)</f>
        <v>2229.04</v>
      </c>
      <c r="G18" s="3" t="str">
        <f>_xlfn.XLOOKUP(Table2[[#This Row],[TransactionID]],Table1[TransactionID],Table1[CustomerName],"NOT FOUND")</f>
        <v>Priya Sharma</v>
      </c>
      <c r="H18" s="3" t="str">
        <f>TRIM(PROPER(Table2[[#This Row],[Customer]]))</f>
        <v>Priya Sharma</v>
      </c>
    </row>
    <row r="19" spans="1:8" ht="14.25" customHeight="1" x14ac:dyDescent="0.3">
      <c r="A19" s="1" t="s">
        <v>87</v>
      </c>
      <c r="B19" s="1" t="s">
        <v>88</v>
      </c>
      <c r="C19" s="1" t="s">
        <v>89</v>
      </c>
      <c r="D19" s="1">
        <v>6071.61</v>
      </c>
      <c r="E19" s="1" t="s">
        <v>8</v>
      </c>
      <c r="F19" s="3">
        <f>IF(Table2[[#This Row],[Currency]]="INR",Table2[[#This Row],[ReturnAmount]],Table2[[#This Row],[ReturnAmount]]*FXRates!$B$3)</f>
        <v>6071.61</v>
      </c>
      <c r="G19" s="3" t="str">
        <f>_xlfn.XLOOKUP(Table2[[#This Row],[TransactionID]],Table1[TransactionID],Table1[CustomerName],"NOT FOUND")</f>
        <v>Neha Kapoor</v>
      </c>
      <c r="H19" s="3" t="str">
        <f>TRIM(PROPER(Table2[[#This Row],[Customer]]))</f>
        <v>Neha Kapoor</v>
      </c>
    </row>
    <row r="20" spans="1:8" ht="14.25" customHeight="1" x14ac:dyDescent="0.3">
      <c r="A20" s="1" t="s">
        <v>91</v>
      </c>
      <c r="B20" s="1" t="s">
        <v>93</v>
      </c>
      <c r="C20" s="1" t="s">
        <v>95</v>
      </c>
      <c r="D20" s="1">
        <v>6039.53</v>
      </c>
      <c r="E20" s="1" t="s">
        <v>8</v>
      </c>
      <c r="F20" s="3">
        <f>IF(Table2[[#This Row],[Currency]]="INR",Table2[[#This Row],[ReturnAmount]],Table2[[#This Row],[ReturnAmount]]*FXRates!$B$3)</f>
        <v>6039.53</v>
      </c>
      <c r="G20" s="3" t="str">
        <f>_xlfn.XLOOKUP(Table2[[#This Row],[TransactionID]],Table1[TransactionID],Table1[CustomerName],"NOT FOUND")</f>
        <v>Manish Chawla</v>
      </c>
      <c r="H20" s="3" t="str">
        <f>TRIM(PROPER(Table2[[#This Row],[Customer]]))</f>
        <v>Manish Chawla</v>
      </c>
    </row>
    <row r="21" spans="1:8" ht="14.25" customHeight="1" x14ac:dyDescent="0.3">
      <c r="A21" s="1" t="s">
        <v>96</v>
      </c>
      <c r="B21" s="1" t="s">
        <v>98</v>
      </c>
      <c r="C21" s="1" t="s">
        <v>100</v>
      </c>
      <c r="D21" s="1">
        <v>7824.55</v>
      </c>
      <c r="E21" s="1" t="s">
        <v>8</v>
      </c>
      <c r="F21" s="3">
        <f>IF(Table2[[#This Row],[Currency]]="INR",Table2[[#This Row],[ReturnAmount]],Table2[[#This Row],[ReturnAmount]]*FXRates!$B$3)</f>
        <v>7824.55</v>
      </c>
      <c r="G21" s="3" t="str">
        <f>_xlfn.XLOOKUP(Table2[[#This Row],[TransactionID]],Table1[TransactionID],Table1[CustomerName],"NOT FOUND")</f>
        <v>Sneha Iyer</v>
      </c>
      <c r="H21" s="3" t="str">
        <f>TRIM(PROPER(Table2[[#This Row],[Customer]]))</f>
        <v>Sneha Iyer</v>
      </c>
    </row>
    <row r="22" spans="1:8" ht="14.25" customHeight="1" x14ac:dyDescent="0.3">
      <c r="A22" s="1" t="s">
        <v>103</v>
      </c>
      <c r="B22" s="1" t="s">
        <v>104</v>
      </c>
      <c r="C22" s="1" t="s">
        <v>80</v>
      </c>
      <c r="D22" s="1">
        <v>7853.83</v>
      </c>
      <c r="E22" s="1" t="s">
        <v>8</v>
      </c>
      <c r="F22" s="3">
        <f>IF(Table2[[#This Row],[Currency]]="INR",Table2[[#This Row],[ReturnAmount]],Table2[[#This Row],[ReturnAmount]]*FXRates!$B$3)</f>
        <v>7853.83</v>
      </c>
      <c r="G22" s="3" t="str">
        <f>_xlfn.XLOOKUP(Table2[[#This Row],[TransactionID]],Table1[TransactionID],Table1[CustomerName],"NOT FOUND")</f>
        <v>Rohan Gupta</v>
      </c>
      <c r="H22" s="3" t="str">
        <f>TRIM(PROPER(Table2[[#This Row],[Customer]]))</f>
        <v>Rohan Gupta</v>
      </c>
    </row>
    <row r="23" spans="1:8" ht="14.25" customHeight="1" x14ac:dyDescent="0.3">
      <c r="A23" s="1" t="s">
        <v>105</v>
      </c>
      <c r="B23" s="1" t="s">
        <v>106</v>
      </c>
      <c r="C23" s="1" t="s">
        <v>107</v>
      </c>
      <c r="D23" s="1">
        <v>3206.61</v>
      </c>
      <c r="E23" s="1" t="s">
        <v>8</v>
      </c>
      <c r="F23" s="3">
        <f>IF(Table2[[#This Row],[Currency]]="INR",Table2[[#This Row],[ReturnAmount]],Table2[[#This Row],[ReturnAmount]]*FXRates!$B$3)</f>
        <v>3206.61</v>
      </c>
      <c r="G23" s="3" t="str">
        <f>_xlfn.XLOOKUP(Table2[[#This Row],[TransactionID]],Table1[TransactionID],Table1[CustomerName],"NOT FOUND")</f>
        <v>Pooja Desai</v>
      </c>
      <c r="H23" s="3" t="str">
        <f>TRIM(PROPER(Table2[[#This Row],[Customer]]))</f>
        <v>Pooja Desai</v>
      </c>
    </row>
    <row r="24" spans="1:8" ht="14.25" customHeight="1" x14ac:dyDescent="0.3">
      <c r="A24" s="1" t="s">
        <v>111</v>
      </c>
      <c r="B24" s="1" t="s">
        <v>112</v>
      </c>
      <c r="C24" s="1" t="s">
        <v>17</v>
      </c>
      <c r="D24" s="1">
        <v>4506.01</v>
      </c>
      <c r="E24" s="1" t="s">
        <v>8</v>
      </c>
      <c r="F24" s="3">
        <f>IF(Table2[[#This Row],[Currency]]="INR",Table2[[#This Row],[ReturnAmount]],Table2[[#This Row],[ReturnAmount]]*FXRates!$B$3)</f>
        <v>4506.01</v>
      </c>
      <c r="G24" s="3" t="str">
        <f>_xlfn.XLOOKUP(Table2[[#This Row],[TransactionID]],Table1[TransactionID],Table1[CustomerName],"NOT FOUND")</f>
        <v>Rohan Gupta</v>
      </c>
      <c r="H24" s="3" t="str">
        <f>TRIM(PROPER(Table2[[#This Row],[Customer]]))</f>
        <v>Rohan Gupta</v>
      </c>
    </row>
    <row r="25" spans="1:8" ht="14.25" customHeight="1" x14ac:dyDescent="0.3">
      <c r="A25" s="1" t="s">
        <v>114</v>
      </c>
      <c r="B25" s="1" t="s">
        <v>115</v>
      </c>
      <c r="C25" s="1" t="s">
        <v>116</v>
      </c>
      <c r="D25" s="1">
        <v>908.95</v>
      </c>
      <c r="E25" s="1" t="s">
        <v>8</v>
      </c>
      <c r="F25" s="3">
        <f>IF(Table2[[#This Row],[Currency]]="INR",Table2[[#This Row],[ReturnAmount]],Table2[[#This Row],[ReturnAmount]]*FXRates!$B$3)</f>
        <v>908.95</v>
      </c>
      <c r="G25" s="3" t="str">
        <f>_xlfn.XLOOKUP(Table2[[#This Row],[TransactionID]],Table1[TransactionID],Table1[CustomerName],"NOT FOUND")</f>
        <v>Amit Verma</v>
      </c>
      <c r="H25" s="3" t="str">
        <f>TRIM(PROPER(Table2[[#This Row],[Customer]]))</f>
        <v>Amit Verma</v>
      </c>
    </row>
    <row r="26" spans="1:8" ht="14.25" customHeight="1" x14ac:dyDescent="0.3">
      <c r="A26" s="1" t="s">
        <v>118</v>
      </c>
      <c r="B26" s="1" t="s">
        <v>119</v>
      </c>
      <c r="C26" s="1" t="s">
        <v>120</v>
      </c>
      <c r="D26" s="1">
        <v>1447.1</v>
      </c>
      <c r="E26" s="1" t="s">
        <v>8</v>
      </c>
      <c r="F26" s="3">
        <f>IF(Table2[[#This Row],[Currency]]="INR",Table2[[#This Row],[ReturnAmount]],Table2[[#This Row],[ReturnAmount]]*FXRates!$B$3)</f>
        <v>1447.1</v>
      </c>
      <c r="G26" s="3" t="str">
        <f>_xlfn.XLOOKUP(Table2[[#This Row],[TransactionID]],Table1[TransactionID],Table1[CustomerName],"NOT FOUND")</f>
        <v>Pooja Desai</v>
      </c>
      <c r="H26" s="3" t="str">
        <f>TRIM(PROPER(Table2[[#This Row],[Customer]]))</f>
        <v>Pooja Desai</v>
      </c>
    </row>
    <row r="27" spans="1:8" ht="14.25" customHeight="1" x14ac:dyDescent="0.3">
      <c r="A27" s="1" t="s">
        <v>123</v>
      </c>
      <c r="B27" s="1" t="s">
        <v>125</v>
      </c>
      <c r="C27" s="1" t="s">
        <v>126</v>
      </c>
      <c r="D27" s="1">
        <v>591.99</v>
      </c>
      <c r="E27" s="1" t="s">
        <v>8</v>
      </c>
      <c r="F27" s="3">
        <f>IF(Table2[[#This Row],[Currency]]="INR",Table2[[#This Row],[ReturnAmount]],Table2[[#This Row],[ReturnAmount]]*FXRates!$B$3)</f>
        <v>591.99</v>
      </c>
      <c r="G27" s="3" t="str">
        <f>_xlfn.XLOOKUP(Table2[[#This Row],[TransactionID]],Table1[TransactionID],Table1[CustomerName],"NOT FOUND")</f>
        <v>Sneha Iyer</v>
      </c>
      <c r="H27" s="3" t="str">
        <f>TRIM(PROPER(Table2[[#This Row],[Customer]]))</f>
        <v>Sneha Iyer</v>
      </c>
    </row>
    <row r="28" spans="1:8" ht="14.25" customHeight="1" x14ac:dyDescent="0.3">
      <c r="A28" s="1" t="s">
        <v>127</v>
      </c>
      <c r="B28" s="1" t="s">
        <v>128</v>
      </c>
      <c r="C28" s="1" t="s">
        <v>120</v>
      </c>
      <c r="D28" s="1">
        <v>3803.52</v>
      </c>
      <c r="E28" s="1" t="s">
        <v>8</v>
      </c>
      <c r="F28" s="3">
        <f>IF(Table2[[#This Row],[Currency]]="INR",Table2[[#This Row],[ReturnAmount]],Table2[[#This Row],[ReturnAmount]]*FXRates!$B$3)</f>
        <v>3803.52</v>
      </c>
      <c r="G28" s="3" t="str">
        <f>_xlfn.XLOOKUP(Table2[[#This Row],[TransactionID]],Table1[TransactionID],Table1[CustomerName],"NOT FOUND")</f>
        <v>Manish Chawla</v>
      </c>
      <c r="H28" s="3" t="str">
        <f>TRIM(PROPER(Table2[[#This Row],[Customer]]))</f>
        <v>Manish Chawla</v>
      </c>
    </row>
    <row r="29" spans="1:8" ht="14.25" customHeight="1" x14ac:dyDescent="0.3">
      <c r="A29" s="1" t="s">
        <v>132</v>
      </c>
      <c r="B29" s="1" t="s">
        <v>133</v>
      </c>
      <c r="C29" s="1" t="s">
        <v>134</v>
      </c>
      <c r="D29" s="1">
        <v>45.35</v>
      </c>
      <c r="E29" s="1" t="s">
        <v>10</v>
      </c>
      <c r="F29" s="3">
        <f>IF(Table2[[#This Row],[Currency]]="INR",Table2[[#This Row],[ReturnAmount]],Table2[[#This Row],[ReturnAmount]]*FXRates!$B$3)</f>
        <v>3773.1200000000003</v>
      </c>
      <c r="G29" s="3" t="str">
        <f>_xlfn.XLOOKUP(Table2[[#This Row],[TransactionID]],Table1[TransactionID],Table1[CustomerName],"NOT FOUND")</f>
        <v>Priya  Sharma</v>
      </c>
      <c r="H29" s="3" t="str">
        <f>TRIM(PROPER(Table2[[#This Row],[Customer]]))</f>
        <v>Priya Sharma</v>
      </c>
    </row>
    <row r="30" spans="1:8" ht="14.25" customHeight="1" x14ac:dyDescent="0.3">
      <c r="A30" s="1" t="s">
        <v>136</v>
      </c>
      <c r="B30" s="1" t="s">
        <v>137</v>
      </c>
      <c r="C30" s="1" t="s">
        <v>138</v>
      </c>
      <c r="D30" s="1">
        <v>990.08</v>
      </c>
      <c r="E30" s="1" t="s">
        <v>8</v>
      </c>
      <c r="F30" s="3">
        <f>IF(Table2[[#This Row],[Currency]]="INR",Table2[[#This Row],[ReturnAmount]],Table2[[#This Row],[ReturnAmount]]*FXRates!$B$3)</f>
        <v>990.08</v>
      </c>
      <c r="G30" s="3" t="str">
        <f>_xlfn.XLOOKUP(Table2[[#This Row],[TransactionID]],Table1[TransactionID],Table1[CustomerName],"NOT FOUND")</f>
        <v>Neha Kapoor</v>
      </c>
      <c r="H30" s="3" t="str">
        <f>TRIM(PROPER(Table2[[#This Row],[Customer]]))</f>
        <v>Neha Kapoor</v>
      </c>
    </row>
    <row r="31" spans="1:8" ht="14.25" customHeight="1" x14ac:dyDescent="0.3">
      <c r="A31" s="1" t="s">
        <v>140</v>
      </c>
      <c r="B31" s="1" t="s">
        <v>141</v>
      </c>
      <c r="C31" s="1" t="s">
        <v>143</v>
      </c>
      <c r="D31" s="1">
        <v>5220.84</v>
      </c>
      <c r="E31" s="1" t="s">
        <v>8</v>
      </c>
      <c r="F31" s="3">
        <f>IF(Table2[[#This Row],[Currency]]="INR",Table2[[#This Row],[ReturnAmount]],Table2[[#This Row],[ReturnAmount]]*FXRates!$B$3)</f>
        <v>5220.84</v>
      </c>
      <c r="G31" s="3" t="str">
        <f>_xlfn.XLOOKUP(Table2[[#This Row],[TransactionID]],Table1[TransactionID],Table1[CustomerName],"NOT FOUND")</f>
        <v>Pooja Desai</v>
      </c>
      <c r="H31" s="3" t="str">
        <f>TRIM(PROPER(Table2[[#This Row],[Customer]]))</f>
        <v>Pooja Desai</v>
      </c>
    </row>
    <row r="32" spans="1:8" ht="14.25" customHeight="1" x14ac:dyDescent="0.3">
      <c r="A32" s="1" t="s">
        <v>145</v>
      </c>
      <c r="B32" s="1" t="s">
        <v>146</v>
      </c>
      <c r="C32" s="1" t="s">
        <v>147</v>
      </c>
      <c r="D32" s="1">
        <v>1200</v>
      </c>
      <c r="E32" s="1" t="s">
        <v>8</v>
      </c>
      <c r="F32" s="3">
        <f>IF(Table2[[#This Row],[Currency]]="INR",Table2[[#This Row],[ReturnAmount]],Table2[[#This Row],[ReturnAmount]]*FXRates!$B$3)</f>
        <v>1200</v>
      </c>
      <c r="G32" s="3" t="str">
        <f>_xlfn.XLOOKUP(Table2[[#This Row],[TransactionID]],Table1[TransactionID],Table1[CustomerName],"NOT FOUND")</f>
        <v>NOT FOUND</v>
      </c>
      <c r="H32" s="3" t="str">
        <f>TRIM(PROPER(Table2[[#This Row],[Customer]]))</f>
        <v>Not Found</v>
      </c>
    </row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workbookViewId="0"/>
  </sheetViews>
  <sheetFormatPr defaultColWidth="14.44140625" defaultRowHeight="15" customHeight="1" x14ac:dyDescent="0.3"/>
  <cols>
    <col min="1" max="1" width="11" customWidth="1"/>
    <col min="2" max="2" width="12" customWidth="1"/>
    <col min="3" max="26" width="8.6640625" customWidth="1"/>
  </cols>
  <sheetData>
    <row r="1" spans="1:2" ht="14.25" customHeight="1" x14ac:dyDescent="0.3">
      <c r="A1" s="2" t="s">
        <v>2</v>
      </c>
      <c r="B1" s="2" t="s">
        <v>6</v>
      </c>
    </row>
    <row r="2" spans="1:2" ht="14.25" customHeight="1" x14ac:dyDescent="0.3">
      <c r="A2" s="1" t="s">
        <v>8</v>
      </c>
      <c r="B2" s="1">
        <v>1</v>
      </c>
    </row>
    <row r="3" spans="1:2" ht="14.25" customHeight="1" x14ac:dyDescent="0.3">
      <c r="A3" s="1" t="s">
        <v>10</v>
      </c>
      <c r="B3" s="1">
        <v>83.2</v>
      </c>
    </row>
    <row r="4" spans="1:2" ht="14.25" customHeight="1" x14ac:dyDescent="0.3"/>
    <row r="5" spans="1:2" ht="14.25" customHeight="1" x14ac:dyDescent="0.3"/>
    <row r="6" spans="1:2" ht="14.25" customHeight="1" x14ac:dyDescent="0.3"/>
    <row r="7" spans="1:2" ht="14.25" customHeight="1" x14ac:dyDescent="0.3"/>
    <row r="8" spans="1:2" ht="14.25" customHeight="1" x14ac:dyDescent="0.3"/>
    <row r="9" spans="1:2" ht="14.25" customHeight="1" x14ac:dyDescent="0.3"/>
    <row r="10" spans="1:2" ht="14.25" customHeight="1" x14ac:dyDescent="0.3"/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</vt:lpstr>
      <vt:lpstr>Sales</vt:lpstr>
      <vt:lpstr>Returns</vt:lpstr>
      <vt:lpstr>FXRates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ayshanasninasni@gmail.com</cp:lastModifiedBy>
  <dcterms:created xsi:type="dcterms:W3CDTF">2026-07-29T07:12:47Z</dcterms:created>
  <dcterms:modified xsi:type="dcterms:W3CDTF">2026-09-03T09:16:30Z</dcterms:modified>
</cp:coreProperties>
</file>
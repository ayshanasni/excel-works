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423cf5ec3f6159c/Documents/"/>
    </mc:Choice>
  </mc:AlternateContent>
  <xr:revisionPtr revIDLastSave="0" documentId="8_{F8AAEC27-9E99-4B4C-BB92-5F4271CBD43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Notes" sheetId="1" r:id="rId1"/>
    <sheet name="Examples" sheetId="2" r:id="rId2"/>
    <sheet name="Tas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" i="2" l="1"/>
  <c r="S2" i="3" a="1"/>
  <c r="S2" i="3"/>
  <c r="S3" i="3" a="1"/>
  <c r="S3" i="3"/>
  <c r="S4" i="3" a="1"/>
  <c r="S4" i="3"/>
  <c r="S5" i="3" a="1"/>
  <c r="S5" i="3"/>
  <c r="S6" i="3" a="1"/>
  <c r="S6" i="3"/>
  <c r="S7" i="3" a="1"/>
  <c r="S7" i="3" s="1"/>
  <c r="S8" i="3" a="1"/>
  <c r="S8" i="3"/>
  <c r="S9" i="3" a="1"/>
  <c r="S9" i="3"/>
  <c r="S10" i="3" a="1"/>
  <c r="S10" i="3"/>
  <c r="S11" i="3" a="1"/>
  <c r="S11" i="3"/>
  <c r="S12" i="3" a="1"/>
  <c r="S12" i="3"/>
  <c r="S13" i="3" a="1"/>
  <c r="S13" i="3" s="1"/>
  <c r="S14" i="3" a="1"/>
  <c r="S14" i="3"/>
  <c r="S15" i="3" a="1"/>
  <c r="S15" i="3"/>
  <c r="S16" i="3" a="1"/>
  <c r="S16" i="3"/>
  <c r="R5" i="3"/>
  <c r="R2" i="3"/>
  <c r="R3" i="3"/>
  <c r="R4" i="3"/>
  <c r="R6" i="3"/>
  <c r="R7" i="3"/>
  <c r="R8" i="3"/>
  <c r="R9" i="3"/>
  <c r="R10" i="3"/>
  <c r="R11" i="3"/>
  <c r="R12" i="3"/>
  <c r="R13" i="3"/>
  <c r="R14" i="3"/>
  <c r="R15" i="3"/>
  <c r="R16" i="3"/>
  <c r="Q2" i="3" a="1"/>
  <c r="Q2" i="3" s="1"/>
  <c r="Q3" i="3" a="1"/>
  <c r="Q3" i="3" s="1"/>
  <c r="Q4" i="3" a="1"/>
  <c r="Q4" i="3" s="1"/>
  <c r="Q5" i="3" a="1"/>
  <c r="Q5" i="3" s="1"/>
  <c r="Q6" i="3" a="1"/>
  <c r="Q6" i="3" s="1"/>
  <c r="Q7" i="3" a="1"/>
  <c r="Q7" i="3" s="1"/>
  <c r="Q8" i="3" a="1"/>
  <c r="Q8" i="3" s="1"/>
  <c r="Q9" i="3" a="1"/>
  <c r="Q9" i="3" s="1"/>
  <c r="Q10" i="3" a="1"/>
  <c r="Q10" i="3" s="1"/>
  <c r="Q11" i="3" a="1"/>
  <c r="Q11" i="3" s="1"/>
  <c r="Q12" i="3" a="1"/>
  <c r="Q12" i="3" s="1"/>
  <c r="Q13" i="3" a="1"/>
  <c r="Q13" i="3" s="1"/>
  <c r="Q14" i="3" a="1"/>
  <c r="Q14" i="3" s="1"/>
  <c r="Q15" i="3" a="1"/>
  <c r="Q15" i="3" s="1"/>
  <c r="Q16" i="3" a="1"/>
  <c r="Q16" i="3" s="1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K2" i="3"/>
  <c r="J2" i="3" s="1"/>
  <c r="K3" i="3"/>
  <c r="J3" i="3" s="1"/>
  <c r="K4" i="3"/>
  <c r="J4" i="3" s="1"/>
  <c r="K5" i="3"/>
  <c r="K6" i="3"/>
  <c r="J6" i="3" s="1"/>
  <c r="K7" i="3"/>
  <c r="J7" i="3" s="1"/>
  <c r="K8" i="3"/>
  <c r="J8" i="3" s="1"/>
  <c r="K9" i="3"/>
  <c r="J9" i="3" s="1"/>
  <c r="K10" i="3"/>
  <c r="J10" i="3" s="1"/>
  <c r="K11" i="3"/>
  <c r="J11" i="3" s="1"/>
  <c r="K12" i="3"/>
  <c r="J12" i="3" s="1"/>
  <c r="K13" i="3"/>
  <c r="J13" i="3" s="1"/>
  <c r="K14" i="3"/>
  <c r="J14" i="3" s="1"/>
  <c r="K15" i="3"/>
  <c r="J15" i="3" s="1"/>
  <c r="K16" i="3"/>
  <c r="J16" i="3" s="1"/>
  <c r="J5" i="3"/>
  <c r="I2" i="3" a="1"/>
  <c r="I2" i="3" s="1"/>
  <c r="P2" i="3" s="1"/>
  <c r="I3" i="3" a="1"/>
  <c r="I3" i="3" s="1"/>
  <c r="P3" i="3" s="1"/>
  <c r="I4" i="3" a="1"/>
  <c r="I4" i="3" s="1"/>
  <c r="P4" i="3" s="1"/>
  <c r="I5" i="3" a="1"/>
  <c r="I5" i="3" s="1"/>
  <c r="P5" i="3" s="1"/>
  <c r="I6" i="3" a="1"/>
  <c r="I6" i="3" s="1"/>
  <c r="P6" i="3" s="1"/>
  <c r="I7" i="3" a="1"/>
  <c r="I7" i="3" s="1"/>
  <c r="P7" i="3" s="1"/>
  <c r="I8" i="3" a="1"/>
  <c r="I8" i="3" s="1"/>
  <c r="P8" i="3" s="1"/>
  <c r="I9" i="3" a="1"/>
  <c r="I9" i="3" s="1"/>
  <c r="P9" i="3" s="1"/>
  <c r="I10" i="3" a="1"/>
  <c r="I10" i="3" s="1"/>
  <c r="P10" i="3" s="1"/>
  <c r="I11" i="3" a="1"/>
  <c r="I11" i="3" s="1"/>
  <c r="P11" i="3" s="1"/>
  <c r="I12" i="3" a="1"/>
  <c r="I12" i="3" s="1"/>
  <c r="P12" i="3" s="1"/>
  <c r="I13" i="3" a="1"/>
  <c r="I13" i="3" s="1"/>
  <c r="P13" i="3" s="1"/>
  <c r="I14" i="3" a="1"/>
  <c r="I14" i="3" s="1"/>
  <c r="P14" i="3" s="1"/>
  <c r="I15" i="3" a="1"/>
  <c r="I15" i="3" s="1"/>
  <c r="P15" i="3" s="1"/>
  <c r="I16" i="3" a="1"/>
  <c r="I16" i="3" s="1"/>
  <c r="P16" i="3" s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R4" i="2"/>
  <c r="R5" i="2"/>
  <c r="R6" i="2"/>
  <c r="R7" i="2"/>
  <c r="R8" i="2"/>
  <c r="R9" i="2"/>
  <c r="R10" i="2"/>
  <c r="R11" i="2"/>
  <c r="R12" i="2"/>
  <c r="R13" i="2"/>
  <c r="Q5" i="2"/>
  <c r="Q6" i="2"/>
  <c r="Q7" i="2"/>
  <c r="Q8" i="2"/>
  <c r="Q9" i="2"/>
  <c r="Q10" i="2"/>
  <c r="Q11" i="2"/>
  <c r="Q12" i="2"/>
  <c r="Q13" i="2"/>
  <c r="O4" i="2"/>
  <c r="O5" i="2"/>
  <c r="O6" i="2"/>
  <c r="O7" i="2"/>
  <c r="O8" i="2"/>
  <c r="O9" i="2"/>
  <c r="O10" i="2"/>
  <c r="O11" i="2"/>
  <c r="O12" i="2"/>
  <c r="O13" i="2"/>
  <c r="N4" i="2"/>
  <c r="N5" i="2"/>
  <c r="N6" i="2"/>
  <c r="N7" i="2"/>
  <c r="N8" i="2"/>
  <c r="N9" i="2"/>
  <c r="N10" i="2"/>
  <c r="N11" i="2"/>
  <c r="N12" i="2"/>
  <c r="N13" i="2"/>
  <c r="M4" i="2"/>
  <c r="M5" i="2"/>
  <c r="M6" i="2"/>
  <c r="M7" i="2"/>
  <c r="M8" i="2"/>
  <c r="M9" i="2"/>
  <c r="M10" i="2"/>
  <c r="M11" i="2"/>
  <c r="M12" i="2"/>
  <c r="M13" i="2"/>
  <c r="L4" i="2"/>
  <c r="L5" i="2"/>
  <c r="L6" i="2"/>
  <c r="L7" i="2"/>
  <c r="L8" i="2"/>
  <c r="L9" i="2"/>
  <c r="L10" i="2"/>
  <c r="L11" i="2"/>
  <c r="L12" i="2"/>
  <c r="L13" i="2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F4" i="2"/>
  <c r="I4" i="2" s="1"/>
  <c r="F5" i="2"/>
  <c r="I5" i="2" s="1"/>
  <c r="F6" i="2"/>
  <c r="I6" i="2" s="1"/>
  <c r="F7" i="2"/>
  <c r="I7" i="2" s="1"/>
  <c r="F8" i="2"/>
  <c r="I8" i="2" s="1"/>
  <c r="F9" i="2"/>
  <c r="I9" i="2" s="1"/>
  <c r="F10" i="2"/>
  <c r="I10" i="2" s="1"/>
  <c r="F11" i="2"/>
  <c r="I11" i="2" s="1"/>
  <c r="F12" i="2"/>
  <c r="I12" i="2" s="1"/>
  <c r="F13" i="2"/>
  <c r="I13" i="2" s="1"/>
  <c r="U13" i="2"/>
  <c r="U12" i="2"/>
  <c r="U11" i="2"/>
  <c r="U10" i="2"/>
  <c r="U9" i="2"/>
  <c r="U8" i="2"/>
  <c r="U7" i="2"/>
  <c r="U6" i="2"/>
  <c r="U5" i="2"/>
  <c r="U4" i="2"/>
  <c r="P9" i="2" l="1"/>
  <c r="P5" i="2"/>
  <c r="P4" i="2"/>
  <c r="P13" i="2"/>
  <c r="P12" i="2"/>
  <c r="P11" i="2"/>
  <c r="P8" i="2"/>
  <c r="P10" i="2"/>
  <c r="P7" i="2"/>
  <c r="P6" i="2"/>
  <c r="J12" i="2"/>
  <c r="J4" i="2"/>
  <c r="J13" i="2"/>
  <c r="J11" i="2"/>
  <c r="J8" i="2"/>
  <c r="J6" i="2"/>
  <c r="J5" i="2"/>
  <c r="J10" i="2"/>
  <c r="J9" i="2"/>
  <c r="J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<sst xmlns="http://schemas.openxmlformats.org/spreadsheetml/2006/main" count="274" uniqueCount="202">
  <si>
    <t>LOGICAL FUNCTIONS — NOTES</t>
  </si>
  <si>
    <t>1 — IF</t>
  </si>
  <si>
    <t>Checks one condition. Returns one value if TRUE, another if FALSE.</t>
  </si>
  <si>
    <t>Syntax</t>
  </si>
  <si>
    <t>=IF( condition, value_if_true, value_if_false )</t>
  </si>
  <si>
    <t>Example</t>
  </si>
  <si>
    <t>Scenario:  Pass if score &gt;= 50, Fail otherwise.</t>
  </si>
  <si>
    <t>=IF(B2&gt;=50, "Pass", "Fail")</t>
  </si>
  <si>
    <t>Remember</t>
  </si>
  <si>
    <t>•</t>
  </si>
  <si>
    <t>All three parts are required — condition, true result, false result</t>
  </si>
  <si>
    <t>Text values must be in double quotes: "Pass" not Pass</t>
  </si>
  <si>
    <t>Numbers do not need quotes: =IF(A2&gt;100, 500, 0)</t>
  </si>
  <si>
    <t>2 — Nested IF</t>
  </si>
  <si>
    <t>An IF inside another IF — used when you have more than two possible outcomes.</t>
  </si>
  <si>
    <t>=IF( cond1, val1, IF( cond2, val2, val3 ) )</t>
  </si>
  <si>
    <t>Scenario:  Grade: A if &gt;=80, B if &gt;=60, C if &gt;=40, F otherwise.</t>
  </si>
  <si>
    <t>=IF(B2&gt;=80,"A", IF(B2&gt;=60,"B", IF(B2&gt;=40,"C","F")))</t>
  </si>
  <si>
    <t>Each IF handles one condition — the next IF goes in the false part</t>
  </si>
  <si>
    <t>Excel allows up to 64 nested IFs — but more than 3 becomes hard to read</t>
  </si>
  <si>
    <t>For many conditions, use IFS instead — it is cleaner</t>
  </si>
  <si>
    <t>3 — IFS</t>
  </si>
  <si>
    <t>Checks multiple conditions one by one. Returns the value for the first TRUE condition.</t>
  </si>
  <si>
    <t>=IFS( cond1, val1, cond2, val2, cond3, val3, ... )</t>
  </si>
  <si>
    <t>Scenario:  Same grade logic as above — cleaner than nested IF.</t>
  </si>
  <si>
    <t>=IFS(B2&gt;=80,"A", B2&gt;=60,"B", B2&gt;=40,"C", TRUE,"F")</t>
  </si>
  <si>
    <t>Conditions are checked in order — stops at the first TRUE</t>
  </si>
  <si>
    <t>Add TRUE as the last condition to handle everything else — works like ELSE</t>
  </si>
  <si>
    <t>Available in Excel 2019 and later</t>
  </si>
  <si>
    <t>4 — AND</t>
  </si>
  <si>
    <t>Returns TRUE only if ALL conditions are TRUE. Even one FALSE makes the whole result FALSE.</t>
  </si>
  <si>
    <t>=AND( condition1, condition2, ... )</t>
  </si>
  <si>
    <t>Scenario:  Check if score &gt;= 50 AND attendance &gt;= 75.</t>
  </si>
  <si>
    <t>=AND(B2&gt;=50, C2&gt;=75)</t>
  </si>
  <si>
    <t>Almost always used inside IF: =IF(AND(...), result_if_all_true, result_if_any_false)</t>
  </si>
  <si>
    <t>AND is strict — every single condition must be TRUE</t>
  </si>
  <si>
    <t>You can add as many conditions as needed</t>
  </si>
  <si>
    <t>5 — OR</t>
  </si>
  <si>
    <t>Returns TRUE if AT LEAST ONE condition is TRUE. All must be FALSE to return FALSE.</t>
  </si>
  <si>
    <t>=OR( condition1, condition2, ... )</t>
  </si>
  <si>
    <t>Scenario:  Check if student passed Maths OR Science.</t>
  </si>
  <si>
    <t>=OR(B2&gt;=50, C2&gt;=50)</t>
  </si>
  <si>
    <t>Almost always used inside IF: =IF(OR(...), result_if_any_true, result_if_all_false)</t>
  </si>
  <si>
    <t>OR is flexible — just one TRUE is enough</t>
  </si>
  <si>
    <t>You can mix AND and OR inside the same IF</t>
  </si>
  <si>
    <t>6 — NOT</t>
  </si>
  <si>
    <t>Reverses a logical value. TRUE becomes FALSE, FALSE becomes TRUE.</t>
  </si>
  <si>
    <t>=NOT( condition )</t>
  </si>
  <si>
    <t>Scenario:  Flag students who did NOT pass (score &lt; 50).</t>
  </si>
  <si>
    <t>=NOT(B2&gt;=50)</t>
  </si>
  <si>
    <t>Used to reverse a condition when it is easier to write the opposite</t>
  </si>
  <si>
    <t>Often used inside IF: =IF(NOT(A2='Paid'), 'Follow Up', 'Done')</t>
  </si>
  <si>
    <t>NOT(TRUE) = FALSE   |   NOT(FALSE) = TRUE</t>
  </si>
  <si>
    <t>7 — IFERROR</t>
  </si>
  <si>
    <t>Returns a custom value if a formula produces an error. Otherwise returns the normal result.</t>
  </si>
  <si>
    <t>=IFERROR( formula, value_if_error )</t>
  </si>
  <si>
    <t>Scenario:  Show Not Found instead of hash-NA when VLOOKUP fails.</t>
  </si>
  <si>
    <t>=IFERROR(VLOOKUP(E2,A2:C20,2,FALSE), "Not Found")</t>
  </si>
  <si>
    <t>Catches all errors: hash-NA, hash-VALUE, hash-DIV0, hash-REF, hash-NAME</t>
  </si>
  <si>
    <t>Put your normal formula as the first argument</t>
  </si>
  <si>
    <t>Second argument is what to show if there is an error — usually a text message or 0</t>
  </si>
  <si>
    <t>8 — Combining Logical &amp; Conditional Functions</t>
  </si>
  <si>
    <t>Use IF with AND, OR, NOT together — and combine with SUMIF, COUNTIF for powerful analysis.</t>
  </si>
  <si>
    <t>Various combinations — see examples sheet</t>
  </si>
  <si>
    <t>Scenario:  Award only if score &gt;= 75 AND attendance &gt;= 80 OR scholarship = Yes.</t>
  </si>
  <si>
    <t>=IF(AND(B2&gt;=75, OR(C2&gt;=80, D2="Yes")), "Award", "No Award")</t>
  </si>
  <si>
    <t>Build complex rules by nesting AND/OR inside IF</t>
  </si>
  <si>
    <t>Combine with COUNTIF: =COUNTIF(range, IF(condition, val1, val2))</t>
  </si>
  <si>
    <t>Read your formula out loud — if it makes sense in English, it is correct</t>
  </si>
  <si>
    <t>LOGICAL FUNCTIONS — EXAMPLES</t>
  </si>
  <si>
    <t>Scenario: Semester exam results for an engineering college batch</t>
  </si>
  <si>
    <t>Student</t>
  </si>
  <si>
    <t>Maths</t>
  </si>
  <si>
    <t>Physics</t>
  </si>
  <si>
    <t>Chemistry</t>
  </si>
  <si>
    <t>Attendance %</t>
  </si>
  <si>
    <t>Scholarship</t>
  </si>
  <si>
    <t>Fees Paid</t>
  </si>
  <si>
    <t>Function</t>
  </si>
  <si>
    <t>Formula</t>
  </si>
  <si>
    <t>Result</t>
  </si>
  <si>
    <t>What it checks</t>
  </si>
  <si>
    <t>Aarav M</t>
  </si>
  <si>
    <t>Yes</t>
  </si>
  <si>
    <t>Paid</t>
  </si>
  <si>
    <t>IF</t>
  </si>
  <si>
    <t>=IF(B4&gt;=50,"Pass","Fail")</t>
  </si>
  <si>
    <t>Did Aarav pass Maths?</t>
  </si>
  <si>
    <t>Bhavna R</t>
  </si>
  <si>
    <t>No</t>
  </si>
  <si>
    <t>Nested IF</t>
  </si>
  <si>
    <t>=IF(B4&gt;=80,"A",IF(B4&gt;=60,"B",IF(B4&gt;=40,"C","F")))</t>
  </si>
  <si>
    <t>Aarav's Maths grade</t>
  </si>
  <si>
    <t>Chirag S</t>
  </si>
  <si>
    <t>IFS</t>
  </si>
  <si>
    <t>=IFS(B4&gt;=80,"A",B4&gt;=60,"B",B4&gt;=40,"C",TRUE,"F")</t>
  </si>
  <si>
    <t>Same grade — cleaner with IFS</t>
  </si>
  <si>
    <t>Deepa K</t>
  </si>
  <si>
    <t>Pending</t>
  </si>
  <si>
    <t>AND inside IF</t>
  </si>
  <si>
    <t>=IF(AND(B4&gt;=50,C4&gt;=50,D4&gt;=50),"Pass","Fail")</t>
  </si>
  <si>
    <t>Pass only if ALL 3 subjects &gt;= 50</t>
  </si>
  <si>
    <t>Elan P</t>
  </si>
  <si>
    <t>OR inside IF</t>
  </si>
  <si>
    <t>=IF(OR(B4&gt;=90,C4&gt;=90,D4&gt;=90),"Distinction","")</t>
  </si>
  <si>
    <t>Distinction if ANY subject &gt;= 90</t>
  </si>
  <si>
    <t>Farhan N</t>
  </si>
  <si>
    <t>NOT inside IF</t>
  </si>
  <si>
    <t>=IF(NOT(G4="Paid"),"Follow Up","Clear")</t>
  </si>
  <si>
    <t>Flag students who have NOT paid</t>
  </si>
  <si>
    <t>Geetha V</t>
  </si>
  <si>
    <t>IFERROR</t>
  </si>
  <si>
    <t>=IFERROR(B4/0,"Error in formula")</t>
  </si>
  <si>
    <t>Handle division error gracefully</t>
  </si>
  <si>
    <t>Harish T</t>
  </si>
  <si>
    <t>AND + OR combined</t>
  </si>
  <si>
    <t>=IF(AND(E4&gt;=80,OR(F4="Yes",B4&gt;=85)),"Award","No")</t>
  </si>
  <si>
    <t>Award if Attendance&gt;=80 AND (Scholarship OR Maths&gt;=85)</t>
  </si>
  <si>
    <t>Indira L</t>
  </si>
  <si>
    <t>COUNTIF + IF</t>
  </si>
  <si>
    <t>=IF(COUNTIF(G4:G13,"Pending")&gt;2,"Alert","OK")</t>
  </si>
  <si>
    <t>Alert if more than 2 pending fees</t>
  </si>
  <si>
    <t>Javed K</t>
  </si>
  <si>
    <t>Nested AND</t>
  </si>
  <si>
    <t>=IF(AND(B4&gt;=50,C4&gt;=50,D4&gt;=50,E4&gt;=75),"Promoted","Detained")</t>
  </si>
  <si>
    <t>Promoted only if all subjects pass AND attendance &gt;= 75</t>
  </si>
  <si>
    <t>Column J = formula text to read  |  Column K = live result  |  Column L = what it checks</t>
  </si>
  <si>
    <t>Employee</t>
  </si>
  <si>
    <t>Dept</t>
  </si>
  <si>
    <t>Experience (Yrs)</t>
  </si>
  <si>
    <t>Performance Score</t>
  </si>
  <si>
    <t>Projects Done</t>
  </si>
  <si>
    <t>Certifications</t>
  </si>
  <si>
    <t>CTC (₹ LPA)</t>
  </si>
  <si>
    <t>#</t>
  </si>
  <si>
    <t>Task — write your formula in the yellow column</t>
  </si>
  <si>
    <t>Arun K</t>
  </si>
  <si>
    <t>Dev</t>
  </si>
  <si>
    <t>T1</t>
  </si>
  <si>
    <t>Flag each employee as 'Eligible' for promotion if Performance Score &gt;= 80, else 'Not Eligible'  — use IF</t>
  </si>
  <si>
    <t>Bhavna P</t>
  </si>
  <si>
    <t>QA</t>
  </si>
  <si>
    <t>T2</t>
  </si>
  <si>
    <t>Rate each employee: Score&gt;=90='Outstanding', Score&gt;=75='Good', Score&gt;=60='Average', else='Needs Improvement'  — use IFS</t>
  </si>
  <si>
    <t>Chirag M</t>
  </si>
  <si>
    <t>T3</t>
  </si>
  <si>
    <t>Mark 'Senior' if Experience &gt;= 5 years AND Performance Score &gt;= 75, else 'Junior'  — use IF + AND</t>
  </si>
  <si>
    <t>Deepa R</t>
  </si>
  <si>
    <t>HR</t>
  </si>
  <si>
    <t>T4</t>
  </si>
  <si>
    <t>Flag 'Review' if Performance Score &lt; 60 OR Projects Done &lt; 5  — use IF + OR</t>
  </si>
  <si>
    <t>Elan S</t>
  </si>
  <si>
    <t>T5</t>
  </si>
  <si>
    <t>Show 'High Performer' if Score&gt;=85 AND (Certifications&gt;=3 OR Projects&gt;=15)  — use IF + AND + OR</t>
  </si>
  <si>
    <t>Fathima N</t>
  </si>
  <si>
    <t>T6</t>
  </si>
  <si>
    <t>Mark employees who do NOT have any certifications as 'No Cert'  — use IF + NOT</t>
  </si>
  <si>
    <t>Ganesh V</t>
  </si>
  <si>
    <t>T7</t>
  </si>
  <si>
    <t>Calculate Bonus: 10% of CTC if Score&gt;=80, else 5% of CTC  — use IF</t>
  </si>
  <si>
    <t>Heena L</t>
  </si>
  <si>
    <t>T8</t>
  </si>
  <si>
    <t>Show 'Critical' if Dept is Dev AND Score &lt; 60, else 'OK'  — use IF + AND</t>
  </si>
  <si>
    <t>Ishaan T</t>
  </si>
  <si>
    <t>T9</t>
  </si>
  <si>
    <t>Wrap the IFS formula from T2 in IFERROR to show 'Check Data' if any error occurs</t>
  </si>
  <si>
    <t>Janani K</t>
  </si>
  <si>
    <t>T10</t>
  </si>
  <si>
    <t>Show 'Fast Track' if Experience&lt;=3 AND Score&gt;=85, 'Steady' if Experience&gt;3 AND Score&gt;=75, else 'Standard'  — use IFS</t>
  </si>
  <si>
    <t>Karthik R</t>
  </si>
  <si>
    <t>T11</t>
  </si>
  <si>
    <t>Count how many employees scored above 80 using COUNTIF — then use IF to show 'Strong Team' if count &gt; 7, else 'Needs Work'</t>
  </si>
  <si>
    <t>Lavanya S</t>
  </si>
  <si>
    <t>T12</t>
  </si>
  <si>
    <t>Show 'CTC Review Needed' if CTC &lt; 10 AND Experience &gt;= 5  — use IF + AND</t>
  </si>
  <si>
    <t>Mohan B</t>
  </si>
  <si>
    <t>Nisha V</t>
  </si>
  <si>
    <t>Omkar P</t>
  </si>
  <si>
    <t>Add your answer columns starting from column I onward — label each column with the task number</t>
  </si>
  <si>
    <t>Eligibility</t>
  </si>
  <si>
    <t>Total</t>
  </si>
  <si>
    <t>Grade</t>
  </si>
  <si>
    <t>Attendance grade</t>
  </si>
  <si>
    <t>Subject wise eligibility</t>
  </si>
  <si>
    <t>SWE 2</t>
  </si>
  <si>
    <t>Paid students</t>
  </si>
  <si>
    <t>iferror</t>
  </si>
  <si>
    <t>Award</t>
  </si>
  <si>
    <t>Pending alert</t>
  </si>
  <si>
    <t>Promotion Condition</t>
  </si>
  <si>
    <t>Eligible</t>
  </si>
  <si>
    <t>Rating</t>
  </si>
  <si>
    <t>Senior/Junior</t>
  </si>
  <si>
    <t>Review flag</t>
  </si>
  <si>
    <t>Certification</t>
  </si>
  <si>
    <t>no Certification</t>
  </si>
  <si>
    <t>Bonus</t>
  </si>
  <si>
    <t>Critical check</t>
  </si>
  <si>
    <t>Error check</t>
  </si>
  <si>
    <t>fast track check</t>
  </si>
  <si>
    <t>employee criteria</t>
  </si>
  <si>
    <t>CTC review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</si>
</sst>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9"/>
      <color rgb="FF1F497D"/>
      <name val="Courier New"/>
      <family val="3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000000"/>
      <name val="Arial"/>
      <family val="2"/>
    </font>
    <font>
      <b/>
      <sz val="8"/>
      <color rgb="FF1F497D"/>
      <name val="Courier New"/>
      <family val="3"/>
    </font>
    <font>
      <b/>
      <sz val="9"/>
      <color rgb="FF375623"/>
      <name val="Arial"/>
      <family val="2"/>
    </font>
    <font>
      <b/>
      <sz val="10"/>
      <color rgb="FF7B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1F497D"/>
      </patternFill>
    </fill>
    <fill>
      <patternFill patternType="solid">
        <fgColor rgb="FF1F3864"/>
        <bgColor rgb="FF1F497D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theme="3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7" borderId="8" xfId="0" applyFont="1" applyFill="1" applyBorder="1" applyAlignment="1">
      <alignment horizontal="left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left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1" fillId="9" borderId="1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97D"/>
          <bgColor rgb="FF2F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rgb="FFFFF2CC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2CC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97D"/>
          <bgColor rgb="FF2F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F5496"/>
      <rgbColor rgb="FF969696"/>
      <rgbColor rgb="FF1F3864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73DD9-6737-4F17-BA54-734B713640A7}" name="Table1" displayName="Table1" ref="A3:R13" totalsRowShown="0" headerRowDxfId="22" dataDxfId="20" headerRowBorderDxfId="21" tableBorderDxfId="19" totalsRowBorderDxfId="18">
  <autoFilter ref="A3:R13" xr:uid="{5CB73DD9-6737-4F17-BA54-734B713640A7}"/>
  <tableColumns count="18">
    <tableColumn id="1" xr3:uid="{101123E9-B268-4D08-B4B7-056F9AF61C99}" name="Student" dataDxfId="17"/>
    <tableColumn id="2" xr3:uid="{441E4FF9-FDF5-4913-B53B-EDF8D7F0C6E5}" name="Maths" dataDxfId="16"/>
    <tableColumn id="3" xr3:uid="{A1F81AB7-078B-4A8A-AB41-F22A20FF2531}" name="Physics" dataDxfId="15"/>
    <tableColumn id="4" xr3:uid="{DEF25293-56C4-4B0E-A00F-5006C707531C}" name="Chemistry" dataDxfId="14"/>
    <tableColumn id="5" xr3:uid="{676A218E-77C8-427B-B089-AB5B62A1FCA5}" name="Attendance %" dataDxfId="13"/>
    <tableColumn id="9" xr3:uid="{94401E03-6CDE-4539-921A-D9C1398EA351}" name="Total" dataDxfId="12">
      <calculatedColumnFormula>SUM(Table1[[#This Row],[Maths]:[Chemistry]])</calculatedColumnFormula>
    </tableColumn>
    <tableColumn id="6" xr3:uid="{97243B79-2F53-40EF-A9CA-206EDE73BAC8}" name="Scholarship" dataDxfId="11"/>
    <tableColumn id="7" xr3:uid="{5DE08466-9C15-444E-A1AE-0DD924BDAD57}" name="Fees Paid" dataDxfId="10"/>
    <tableColumn id="8" xr3:uid="{7C7BCD2C-A913-42EA-9C97-E02C8C9AB421}" name="Eligibility" dataDxfId="9">
      <calculatedColumnFormula>IF(Table1[[#This Row],[Total]]&gt;150,"Pass","Fail")</calculatedColumnFormula>
    </tableColumn>
    <tableColumn id="10" xr3:uid="{96A46814-F05F-47A5-98A9-9AD098BD9EBD}" name="Grade" dataDxfId="8">
      <calculatedColumnFormula>IF(Table1[[#This Row],[Total]]&gt;=200,"A",IF(Table1[[#This Row],[Total]]&gt;=150,"B",IF(Table1[[#This Row],[Total]]&gt;=80,"C","E")))</calculatedColumnFormula>
    </tableColumn>
    <tableColumn id="11" xr3:uid="{BB1F91A0-2315-486B-874F-066B50AC2268}" name="Attendance grade" dataDxfId="7">
      <calculatedColumnFormula array="1">_xlfn.IFS(Table1[[#This Row],[Attendance %]]&gt;80,"Excellent",Table1[[#This Row],[Attendance %]]&gt;60,"Good",Table1[[#This Row],[Attendance %]]&gt;=40,"Moderate",TRUE,"Poor")</calculatedColumnFormula>
    </tableColumn>
    <tableColumn id="12" xr3:uid="{C69015ED-8E6B-4CA9-A3F4-9B2F05BDB812}" name="Subject wise eligibility" dataDxfId="6">
      <calculatedColumnFormula>IF(AND(Table1[[#This Row],[Maths]]&gt;50,Table1[[#This Row],[Physics]]&gt;50,Table1[[#This Row],[Chemistry]]&gt;50),"Pass","Fail")</calculatedColumnFormula>
    </tableColumn>
    <tableColumn id="13" xr3:uid="{19931517-35BB-4004-9B01-A9EEA9059999}" name="SWE 2" dataDxfId="5">
      <calculatedColumnFormula>IF(OR(Table1[[#This Row],[Maths]]&gt;90,Table1[[#This Row],[Physics]]&gt;90,Table1[[#This Row],[Chemistry]]&gt;90),"Distinction","Pass")</calculatedColumnFormula>
    </tableColumn>
    <tableColumn id="14" xr3:uid="{75040918-F59C-4198-835C-B9F712D38A49}" name="Paid students" dataDxfId="4">
      <calculatedColumnFormula>IF(NOT(Table1[[#This Row],[Fees Paid]]="Paid"),"Follow Up","Clear")</calculatedColumnFormula>
    </tableColumn>
    <tableColumn id="15" xr3:uid="{D304B6B3-B8DC-4BF4-B2C4-84B5C189AE36}" name="iferror" dataDxfId="3">
      <calculatedColumnFormula>IFERROR(Table1[[#This Row],[Maths]]/0,"Error in formula")</calculatedColumnFormula>
    </tableColumn>
    <tableColumn id="16" xr3:uid="{DEB0C73E-1E55-48A2-8878-DC396934C019}" name="Award" dataDxfId="2">
      <calculatedColumnFormula>IF(AND(Table1[[#This Row],[Attendance %]]&gt;80,OR(Table1[[#This Row],[Scholarship]]="yes",Table1[[#This Row],[Total]]&gt;150)),"Award","No")</calculatedColumnFormula>
    </tableColumn>
    <tableColumn id="17" xr3:uid="{16F2E564-3B46-4B39-A729-75F7BF3EC32D}" name="Pending alert" dataDxfId="1">
      <calculatedColumnFormula>IF(COUNTIF(Table1[[#This Row],[Fees Paid]],"Pending")&gt;2,"Alert","OK")</calculatedColumnFormula>
    </tableColumn>
    <tableColumn id="18" xr3:uid="{8035498D-F695-4F93-9CA8-303C93DA6724}" name="Promotion Condition" dataDxfId="0">
      <calculatedColumnFormula>IF(AND(Table1[[#This Row],[Maths]]&gt;50,Table1[[#This Row],[Physics]]&gt;50,Table1[[#This Row],[Chemistry]]&gt;50,Table1[[#This Row],[Attendance %]]&gt;75),"Promoted","Nil")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6AE34E-38D7-48DF-89B4-4FB319601F0B}" name="Table2" displayName="Table2" ref="A1:S16" totalsRowShown="0" headerRowDxfId="46" dataDxfId="44" headerRowBorderDxfId="45" tableBorderDxfId="43" totalsRowBorderDxfId="42">
  <autoFilter ref="A1:S16" xr:uid="{EE6AE34E-38D7-48DF-89B4-4FB319601F0B}"/>
  <tableColumns count="19">
    <tableColumn id="1" xr3:uid="{59B3257B-2C76-4BAA-B8B7-EDE57223867C}" name="Employee" dataDxfId="41"/>
    <tableColumn id="2" xr3:uid="{8DAE92A6-59C8-4342-8AC8-8791CCBCFB18}" name="Dept" dataDxfId="40"/>
    <tableColumn id="3" xr3:uid="{18892DD8-D87D-4A5A-BA83-E2C22F61F020}" name="Experience (Yrs)" dataDxfId="39"/>
    <tableColumn id="4" xr3:uid="{711ED613-80F4-41C9-9B7C-243147E84145}" name="Performance Score" dataDxfId="38"/>
    <tableColumn id="5" xr3:uid="{D017EDF8-477D-4E4F-BC62-FABE68A277AB}" name="Projects Done" dataDxfId="37"/>
    <tableColumn id="6" xr3:uid="{41D67A16-E61C-4A97-BF04-F1894F58DA73}" name="Certifications" dataDxfId="36"/>
    <tableColumn id="7" xr3:uid="{4D1D8616-209D-4353-B5AD-CE4E65494DB2}" name="CTC (₹ LPA)" dataDxfId="35"/>
    <tableColumn id="8" xr3:uid="{14161BA6-11B0-4ED3-ACB8-9C6345FF1DCB}" name="Eligible" dataDxfId="34">
      <calculatedColumnFormula>IF(Table2[[#This Row],[Performance Score]]&gt;=80,"Eligible","Not Eligible")</calculatedColumnFormula>
    </tableColumn>
    <tableColumn id="9" xr3:uid="{240E6205-6499-4703-A045-929B4079C167}" name="Rating" dataDxfId="33">
      <calculatedColumnFormula array="1">_xlfn.IFS(Table2[[#This Row],[Performance Score]]&gt;90,"Outstanding",Table2[[#This Row],[Performance Score]]&gt;=75,"Good",Table2[[#This Row],[Performance Score]]&gt;=60,"Average",TRUE,"Needs improvement")</calculatedColumnFormula>
    </tableColumn>
    <tableColumn id="10" xr3:uid="{DC60F6CB-39F9-4E12-8F9B-FF89468F391F}" name="Senior/Junior" dataDxfId="32">
      <calculatedColumnFormula>IF(AND(Table2[[#This Row],[Review flag]],Table2[[#This Row],[Experience (Yrs)]]&gt;5,Table2[[#This Row],[Performance Score]]&gt;=75),"Senior","Junior")</calculatedColumnFormula>
    </tableColumn>
    <tableColumn id="11" xr3:uid="{9F43D8A1-E7A0-4451-BF51-AEA44C9792BB}" name="Review flag" dataDxfId="31">
      <calculatedColumnFormula>IF(OR(Table2[[#This Row],[Performance Score]]&lt;60,Table2[[#This Row],[Projects Done]]&lt;5),"Review","nil")</calculatedColumnFormula>
    </tableColumn>
    <tableColumn id="12" xr3:uid="{3760593F-65EE-47DC-BAAD-36C8442BE3F0}" name="Certification" dataDxfId="30">
      <calculatedColumnFormula>IF(AND(Table2[[#This Row],[Performance Score]]&gt;=85,OR(Table2[[#This Row],[Certifications]]&gt;=3,Table2[[#This Row],[Projects Done]]&gt;=15)),"High Performer","")</calculatedColumnFormula>
    </tableColumn>
    <tableColumn id="13" xr3:uid="{707EF0C2-0E84-49D8-97F8-00A3FD127677}" name="no Certification" dataDxfId="29">
      <calculatedColumnFormula>IF(NOT(Table2[[#This Row],[Certifications]]&gt;=1),"no cert","certified")</calculatedColumnFormula>
    </tableColumn>
    <tableColumn id="14" xr3:uid="{C4B8D844-5B91-4F82-AFB7-79992C4F9EDC}" name="Bonus" dataDxfId="28">
      <calculatedColumnFormula>IF(Table2[[#This Row],[Performance Score]]&gt;=80,Table2[[#This Row],[CTC (₹ LPA)]]*10%,Table2[[#This Row],[CTC (₹ LPA)]]*5%)</calculatedColumnFormula>
    </tableColumn>
    <tableColumn id="15" xr3:uid="{20A42FC4-95D4-41C0-9212-148C4DC812B5}" name="Critical check" dataDxfId="27">
      <calculatedColumnFormula>IF(AND(Table2[[#This Row],[Dept]]="Dev",Table2[[#This Row],[Performance Score]]&lt;60),"Critical","OK")</calculatedColumnFormula>
    </tableColumn>
    <tableColumn id="16" xr3:uid="{D4B29032-A21E-4BEB-9F0E-59CD587917BA}" name="Error check" dataDxfId="26">
      <calculatedColumnFormula>IFERROR(Table2[[#This Row],[Rating]],"Check data")</calculatedColumnFormula>
    </tableColumn>
    <tableColumn id="17" xr3:uid="{F078906C-1D24-4821-B3E7-C0B573199819}" name="fast track check" dataDxfId="25">
      <calculatedColumnFormula array="1">_xlfn.IFS(AND(Table2[[#This Row],[Experience (Yrs)]]&lt;=3,Table2[[#This Row],[Performance Score]]&gt;=85),"Fast Track",AND(Table2[[#This Row],[Experience (Yrs)]]&gt;3,Table2[[#This Row],[Performance Score]]&gt;=75),"Steady",TRUE,"Standard")</calculatedColumnFormula>
    </tableColumn>
    <tableColumn id="19" xr3:uid="{FCB01F8C-5AFE-464F-91AD-3415473E8CA0}" name="employee criteria" dataDxfId="24">
      <calculatedColumnFormula>IF(COUNTIF(Table2[Performance Score],"&gt;80")&gt;"7","Strong Team","Needs Work")</calculatedColumnFormula>
    </tableColumn>
    <tableColumn id="20" xr3:uid="{B967313E-C760-48EC-B5A5-64481E1DBC0B}" name="CTC review check" dataDxfId="23">
      <calculatedColumnFormula array="1">IF(AND(Table2[CTC (₹ LPA)]&lt;10,Table2[Experience (Yrs)]&gt;=5),"CTC review Needed", "nil")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zoomScaleNormal="100" workbookViewId="0">
      <selection sqref="A1:D1"/>
    </sheetView>
  </sheetViews>
  <sheetFormatPr defaultColWidth="8.6640625" defaultRowHeight="14.4" x14ac:dyDescent="0.3"/>
  <cols>
    <col min="1" max="1" width="5" customWidth="1"/>
    <col min="2" max="2" width="36" customWidth="1"/>
    <col min="3" max="4" width="26" customWidth="1"/>
  </cols>
  <sheetData>
    <row r="1" spans="1:4" ht="31.5" customHeight="1" x14ac:dyDescent="0.3">
      <c r="A1" s="41" t="s">
        <v>0</v>
      </c>
      <c r="B1" s="41"/>
      <c r="C1" s="41"/>
      <c r="D1" s="41"/>
    </row>
    <row r="2" spans="1:4" ht="21.75" customHeight="1" x14ac:dyDescent="0.3">
      <c r="A2" s="42" t="s">
        <v>1</v>
      </c>
      <c r="B2" s="42"/>
      <c r="C2" s="42"/>
      <c r="D2" s="42"/>
    </row>
    <row r="3" spans="1:4" ht="21.75" customHeight="1" x14ac:dyDescent="0.3">
      <c r="A3" s="43" t="s">
        <v>2</v>
      </c>
      <c r="B3" s="43"/>
      <c r="C3" s="43"/>
      <c r="D3" s="43"/>
    </row>
    <row r="4" spans="1:4" ht="18" customHeight="1" x14ac:dyDescent="0.3">
      <c r="A4" s="44" t="s">
        <v>3</v>
      </c>
      <c r="B4" s="44"/>
      <c r="C4" s="44"/>
      <c r="D4" s="44"/>
    </row>
    <row r="5" spans="1:4" ht="27.75" customHeight="1" x14ac:dyDescent="0.3">
      <c r="A5" s="45" t="s">
        <v>4</v>
      </c>
      <c r="B5" s="45"/>
      <c r="C5" s="45"/>
      <c r="D5" s="45"/>
    </row>
    <row r="6" spans="1:4" ht="18" customHeight="1" x14ac:dyDescent="0.3">
      <c r="A6" s="44" t="s">
        <v>5</v>
      </c>
      <c r="B6" s="44"/>
      <c r="C6" s="44"/>
      <c r="D6" s="44"/>
    </row>
    <row r="7" spans="1:4" ht="21.75" customHeight="1" x14ac:dyDescent="0.3">
      <c r="A7" s="46" t="s">
        <v>6</v>
      </c>
      <c r="B7" s="46"/>
      <c r="C7" s="46"/>
      <c r="D7" s="46"/>
    </row>
    <row r="8" spans="1:4" ht="21.75" customHeight="1" x14ac:dyDescent="0.3">
      <c r="A8" s="45" t="s">
        <v>7</v>
      </c>
      <c r="B8" s="45"/>
      <c r="C8" s="45"/>
      <c r="D8" s="45"/>
    </row>
    <row r="9" spans="1:4" ht="18" customHeight="1" x14ac:dyDescent="0.3">
      <c r="A9" s="44" t="s">
        <v>8</v>
      </c>
      <c r="B9" s="44"/>
      <c r="C9" s="44"/>
      <c r="D9" s="44"/>
    </row>
    <row r="10" spans="1:4" ht="24" customHeight="1" x14ac:dyDescent="0.3">
      <c r="A10" s="2" t="s">
        <v>9</v>
      </c>
      <c r="B10" s="37" t="s">
        <v>10</v>
      </c>
      <c r="C10" s="37"/>
      <c r="D10" s="37"/>
    </row>
    <row r="11" spans="1:4" ht="24" customHeight="1" x14ac:dyDescent="0.3">
      <c r="A11" s="2" t="s">
        <v>9</v>
      </c>
      <c r="B11" s="37" t="s">
        <v>11</v>
      </c>
      <c r="C11" s="37"/>
      <c r="D11" s="37"/>
    </row>
    <row r="12" spans="1:4" ht="24" customHeight="1" x14ac:dyDescent="0.3">
      <c r="A12" s="2" t="s">
        <v>9</v>
      </c>
      <c r="B12" s="37" t="s">
        <v>12</v>
      </c>
      <c r="C12" s="37"/>
      <c r="D12" s="37"/>
    </row>
    <row r="13" spans="1:4" ht="7.5" customHeight="1" x14ac:dyDescent="0.3">
      <c r="A13" s="47"/>
      <c r="B13" s="47"/>
      <c r="C13" s="47"/>
      <c r="D13" s="47"/>
    </row>
    <row r="14" spans="1:4" ht="21.75" customHeight="1" x14ac:dyDescent="0.3">
      <c r="A14" s="42" t="s">
        <v>13</v>
      </c>
      <c r="B14" s="42"/>
      <c r="C14" s="42"/>
      <c r="D14" s="42"/>
    </row>
    <row r="15" spans="1:4" ht="21.75" customHeight="1" x14ac:dyDescent="0.3">
      <c r="A15" s="43" t="s">
        <v>14</v>
      </c>
      <c r="B15" s="43"/>
      <c r="C15" s="43"/>
      <c r="D15" s="43"/>
    </row>
    <row r="16" spans="1:4" ht="18" customHeight="1" x14ac:dyDescent="0.3">
      <c r="A16" s="44" t="s">
        <v>3</v>
      </c>
      <c r="B16" s="44"/>
      <c r="C16" s="44"/>
      <c r="D16" s="44"/>
    </row>
    <row r="17" spans="1:4" ht="27.75" customHeight="1" x14ac:dyDescent="0.3">
      <c r="A17" s="45" t="s">
        <v>15</v>
      </c>
      <c r="B17" s="45"/>
      <c r="C17" s="45"/>
      <c r="D17" s="45"/>
    </row>
    <row r="18" spans="1:4" ht="18" customHeight="1" x14ac:dyDescent="0.3">
      <c r="A18" s="44" t="s">
        <v>5</v>
      </c>
      <c r="B18" s="44"/>
      <c r="C18" s="44"/>
      <c r="D18" s="44"/>
    </row>
    <row r="19" spans="1:4" ht="21.75" customHeight="1" x14ac:dyDescent="0.3">
      <c r="A19" s="46" t="s">
        <v>16</v>
      </c>
      <c r="B19" s="46"/>
      <c r="C19" s="46"/>
      <c r="D19" s="46"/>
    </row>
    <row r="20" spans="1:4" ht="21.75" customHeight="1" x14ac:dyDescent="0.3">
      <c r="A20" s="45" t="s">
        <v>17</v>
      </c>
      <c r="B20" s="45"/>
      <c r="C20" s="45"/>
      <c r="D20" s="45"/>
    </row>
    <row r="21" spans="1:4" ht="18" customHeight="1" x14ac:dyDescent="0.3">
      <c r="A21" s="44" t="s">
        <v>8</v>
      </c>
      <c r="B21" s="44"/>
      <c r="C21" s="44"/>
      <c r="D21" s="44"/>
    </row>
    <row r="22" spans="1:4" ht="24" customHeight="1" x14ac:dyDescent="0.3">
      <c r="A22" s="2" t="s">
        <v>9</v>
      </c>
      <c r="B22" s="37" t="s">
        <v>18</v>
      </c>
      <c r="C22" s="37"/>
      <c r="D22" s="37"/>
    </row>
    <row r="23" spans="1:4" ht="24" customHeight="1" x14ac:dyDescent="0.3">
      <c r="A23" s="2" t="s">
        <v>9</v>
      </c>
      <c r="B23" s="37" t="s">
        <v>19</v>
      </c>
      <c r="C23" s="37"/>
      <c r="D23" s="37"/>
    </row>
    <row r="24" spans="1:4" ht="24" customHeight="1" x14ac:dyDescent="0.3">
      <c r="A24" s="2" t="s">
        <v>9</v>
      </c>
      <c r="B24" s="37" t="s">
        <v>20</v>
      </c>
      <c r="C24" s="37"/>
      <c r="D24" s="37"/>
    </row>
    <row r="25" spans="1:4" ht="7.5" customHeight="1" x14ac:dyDescent="0.3">
      <c r="A25" s="47"/>
      <c r="B25" s="47"/>
      <c r="C25" s="47"/>
      <c r="D25" s="47"/>
    </row>
    <row r="26" spans="1:4" ht="21.75" customHeight="1" x14ac:dyDescent="0.3">
      <c r="A26" s="42" t="s">
        <v>21</v>
      </c>
      <c r="B26" s="42"/>
      <c r="C26" s="42"/>
      <c r="D26" s="42"/>
    </row>
    <row r="27" spans="1:4" ht="21.75" customHeight="1" x14ac:dyDescent="0.3">
      <c r="A27" s="43" t="s">
        <v>22</v>
      </c>
      <c r="B27" s="43"/>
      <c r="C27" s="43"/>
      <c r="D27" s="43"/>
    </row>
    <row r="28" spans="1:4" ht="18" customHeight="1" x14ac:dyDescent="0.3">
      <c r="A28" s="44" t="s">
        <v>3</v>
      </c>
      <c r="B28" s="44"/>
      <c r="C28" s="44"/>
      <c r="D28" s="44"/>
    </row>
    <row r="29" spans="1:4" ht="27.75" customHeight="1" x14ac:dyDescent="0.3">
      <c r="A29" s="45" t="s">
        <v>23</v>
      </c>
      <c r="B29" s="45"/>
      <c r="C29" s="45"/>
      <c r="D29" s="45"/>
    </row>
    <row r="30" spans="1:4" ht="18" customHeight="1" x14ac:dyDescent="0.3">
      <c r="A30" s="44" t="s">
        <v>5</v>
      </c>
      <c r="B30" s="44"/>
      <c r="C30" s="44"/>
      <c r="D30" s="44"/>
    </row>
    <row r="31" spans="1:4" ht="21.75" customHeight="1" x14ac:dyDescent="0.3">
      <c r="A31" s="46" t="s">
        <v>24</v>
      </c>
      <c r="B31" s="46"/>
      <c r="C31" s="46"/>
      <c r="D31" s="46"/>
    </row>
    <row r="32" spans="1:4" ht="21.75" customHeight="1" x14ac:dyDescent="0.3">
      <c r="A32" s="45" t="s">
        <v>25</v>
      </c>
      <c r="B32" s="45"/>
      <c r="C32" s="45"/>
      <c r="D32" s="45"/>
    </row>
    <row r="33" spans="1:4" ht="18" customHeight="1" x14ac:dyDescent="0.3">
      <c r="A33" s="44" t="s">
        <v>8</v>
      </c>
      <c r="B33" s="44"/>
      <c r="C33" s="44"/>
      <c r="D33" s="44"/>
    </row>
    <row r="34" spans="1:4" ht="24" customHeight="1" x14ac:dyDescent="0.3">
      <c r="A34" s="2" t="s">
        <v>9</v>
      </c>
      <c r="B34" s="37" t="s">
        <v>26</v>
      </c>
      <c r="C34" s="37"/>
      <c r="D34" s="37"/>
    </row>
    <row r="35" spans="1:4" ht="24" customHeight="1" x14ac:dyDescent="0.3">
      <c r="A35" s="2" t="s">
        <v>9</v>
      </c>
      <c r="B35" s="37" t="s">
        <v>27</v>
      </c>
      <c r="C35" s="37"/>
      <c r="D35" s="37"/>
    </row>
    <row r="36" spans="1:4" ht="24" customHeight="1" x14ac:dyDescent="0.3">
      <c r="A36" s="2" t="s">
        <v>9</v>
      </c>
      <c r="B36" s="37" t="s">
        <v>28</v>
      </c>
      <c r="C36" s="37"/>
      <c r="D36" s="37"/>
    </row>
    <row r="37" spans="1:4" ht="7.5" customHeight="1" x14ac:dyDescent="0.3">
      <c r="A37" s="47"/>
      <c r="B37" s="47"/>
      <c r="C37" s="47"/>
      <c r="D37" s="47"/>
    </row>
    <row r="38" spans="1:4" ht="21.75" customHeight="1" x14ac:dyDescent="0.3">
      <c r="A38" s="42" t="s">
        <v>29</v>
      </c>
      <c r="B38" s="42"/>
      <c r="C38" s="42"/>
      <c r="D38" s="42"/>
    </row>
    <row r="39" spans="1:4" ht="21.75" customHeight="1" x14ac:dyDescent="0.3">
      <c r="A39" s="43" t="s">
        <v>30</v>
      </c>
      <c r="B39" s="43"/>
      <c r="C39" s="43"/>
      <c r="D39" s="43"/>
    </row>
    <row r="40" spans="1:4" ht="18" customHeight="1" x14ac:dyDescent="0.3">
      <c r="A40" s="44" t="s">
        <v>3</v>
      </c>
      <c r="B40" s="44"/>
      <c r="C40" s="44"/>
      <c r="D40" s="44"/>
    </row>
    <row r="41" spans="1:4" ht="27.75" customHeight="1" x14ac:dyDescent="0.3">
      <c r="A41" s="45" t="s">
        <v>31</v>
      </c>
      <c r="B41" s="45"/>
      <c r="C41" s="45"/>
      <c r="D41" s="45"/>
    </row>
    <row r="42" spans="1:4" ht="18" customHeight="1" x14ac:dyDescent="0.3">
      <c r="A42" s="44" t="s">
        <v>5</v>
      </c>
      <c r="B42" s="44"/>
      <c r="C42" s="44"/>
      <c r="D42" s="44"/>
    </row>
    <row r="43" spans="1:4" ht="21.75" customHeight="1" x14ac:dyDescent="0.3">
      <c r="A43" s="46" t="s">
        <v>32</v>
      </c>
      <c r="B43" s="46"/>
      <c r="C43" s="46"/>
      <c r="D43" s="46"/>
    </row>
    <row r="44" spans="1:4" ht="21.75" customHeight="1" x14ac:dyDescent="0.3">
      <c r="A44" s="45" t="s">
        <v>33</v>
      </c>
      <c r="B44" s="45"/>
      <c r="C44" s="45"/>
      <c r="D44" s="45"/>
    </row>
    <row r="45" spans="1:4" ht="18" customHeight="1" x14ac:dyDescent="0.3">
      <c r="A45" s="44" t="s">
        <v>8</v>
      </c>
      <c r="B45" s="44"/>
      <c r="C45" s="44"/>
      <c r="D45" s="44"/>
    </row>
    <row r="46" spans="1:4" ht="24" customHeight="1" x14ac:dyDescent="0.3">
      <c r="A46" s="2" t="s">
        <v>9</v>
      </c>
      <c r="B46" s="37" t="s">
        <v>34</v>
      </c>
      <c r="C46" s="37"/>
      <c r="D46" s="37"/>
    </row>
    <row r="47" spans="1:4" ht="24" customHeight="1" x14ac:dyDescent="0.3">
      <c r="A47" s="2" t="s">
        <v>9</v>
      </c>
      <c r="B47" s="37" t="s">
        <v>35</v>
      </c>
      <c r="C47" s="37"/>
      <c r="D47" s="37"/>
    </row>
    <row r="48" spans="1:4" ht="24" customHeight="1" x14ac:dyDescent="0.3">
      <c r="A48" s="2" t="s">
        <v>9</v>
      </c>
      <c r="B48" s="37" t="s">
        <v>36</v>
      </c>
      <c r="C48" s="37"/>
      <c r="D48" s="37"/>
    </row>
    <row r="49" spans="1:4" ht="7.5" customHeight="1" x14ac:dyDescent="0.3">
      <c r="A49" s="47"/>
      <c r="B49" s="47"/>
      <c r="C49" s="47"/>
      <c r="D49" s="47"/>
    </row>
    <row r="50" spans="1:4" ht="21.75" customHeight="1" x14ac:dyDescent="0.3">
      <c r="A50" s="42" t="s">
        <v>37</v>
      </c>
      <c r="B50" s="42"/>
      <c r="C50" s="42"/>
      <c r="D50" s="42"/>
    </row>
    <row r="51" spans="1:4" ht="21.75" customHeight="1" x14ac:dyDescent="0.3">
      <c r="A51" s="43" t="s">
        <v>38</v>
      </c>
      <c r="B51" s="43"/>
      <c r="C51" s="43"/>
      <c r="D51" s="43"/>
    </row>
    <row r="52" spans="1:4" ht="18" customHeight="1" x14ac:dyDescent="0.3">
      <c r="A52" s="44" t="s">
        <v>3</v>
      </c>
      <c r="B52" s="44"/>
      <c r="C52" s="44"/>
      <c r="D52" s="44"/>
    </row>
    <row r="53" spans="1:4" ht="27.75" customHeight="1" x14ac:dyDescent="0.3">
      <c r="A53" s="45" t="s">
        <v>39</v>
      </c>
      <c r="B53" s="45"/>
      <c r="C53" s="45"/>
      <c r="D53" s="45"/>
    </row>
    <row r="54" spans="1:4" ht="18" customHeight="1" x14ac:dyDescent="0.3">
      <c r="A54" s="44" t="s">
        <v>5</v>
      </c>
      <c r="B54" s="44"/>
      <c r="C54" s="44"/>
      <c r="D54" s="44"/>
    </row>
    <row r="55" spans="1:4" ht="21.75" customHeight="1" x14ac:dyDescent="0.3">
      <c r="A55" s="46" t="s">
        <v>40</v>
      </c>
      <c r="B55" s="46"/>
      <c r="C55" s="46"/>
      <c r="D55" s="46"/>
    </row>
    <row r="56" spans="1:4" ht="21.75" customHeight="1" x14ac:dyDescent="0.3">
      <c r="A56" s="45" t="s">
        <v>41</v>
      </c>
      <c r="B56" s="45"/>
      <c r="C56" s="45"/>
      <c r="D56" s="45"/>
    </row>
    <row r="57" spans="1:4" ht="18" customHeight="1" x14ac:dyDescent="0.3">
      <c r="A57" s="44" t="s">
        <v>8</v>
      </c>
      <c r="B57" s="44"/>
      <c r="C57" s="44"/>
      <c r="D57" s="44"/>
    </row>
    <row r="58" spans="1:4" ht="24" customHeight="1" x14ac:dyDescent="0.3">
      <c r="A58" s="2" t="s">
        <v>9</v>
      </c>
      <c r="B58" s="37" t="s">
        <v>42</v>
      </c>
      <c r="C58" s="37"/>
      <c r="D58" s="37"/>
    </row>
    <row r="59" spans="1:4" ht="24" customHeight="1" x14ac:dyDescent="0.3">
      <c r="A59" s="2" t="s">
        <v>9</v>
      </c>
      <c r="B59" s="37" t="s">
        <v>43</v>
      </c>
      <c r="C59" s="37"/>
      <c r="D59" s="37"/>
    </row>
    <row r="60" spans="1:4" ht="24" customHeight="1" x14ac:dyDescent="0.3">
      <c r="A60" s="2" t="s">
        <v>9</v>
      </c>
      <c r="B60" s="37" t="s">
        <v>44</v>
      </c>
      <c r="C60" s="37"/>
      <c r="D60" s="37"/>
    </row>
    <row r="61" spans="1:4" ht="7.5" customHeight="1" x14ac:dyDescent="0.3">
      <c r="A61" s="47"/>
      <c r="B61" s="47"/>
      <c r="C61" s="47"/>
      <c r="D61" s="47"/>
    </row>
    <row r="62" spans="1:4" ht="21.75" customHeight="1" x14ac:dyDescent="0.3">
      <c r="A62" s="42" t="s">
        <v>45</v>
      </c>
      <c r="B62" s="42"/>
      <c r="C62" s="42"/>
      <c r="D62" s="42"/>
    </row>
    <row r="63" spans="1:4" ht="21.75" customHeight="1" x14ac:dyDescent="0.3">
      <c r="A63" s="43" t="s">
        <v>46</v>
      </c>
      <c r="B63" s="43"/>
      <c r="C63" s="43"/>
      <c r="D63" s="43"/>
    </row>
    <row r="64" spans="1:4" ht="18" customHeight="1" x14ac:dyDescent="0.3">
      <c r="A64" s="44" t="s">
        <v>3</v>
      </c>
      <c r="B64" s="44"/>
      <c r="C64" s="44"/>
      <c r="D64" s="44"/>
    </row>
    <row r="65" spans="1:4" ht="27.75" customHeight="1" x14ac:dyDescent="0.3">
      <c r="A65" s="45" t="s">
        <v>47</v>
      </c>
      <c r="B65" s="45"/>
      <c r="C65" s="45"/>
      <c r="D65" s="45"/>
    </row>
    <row r="66" spans="1:4" ht="18" customHeight="1" x14ac:dyDescent="0.3">
      <c r="A66" s="44" t="s">
        <v>5</v>
      </c>
      <c r="B66" s="44"/>
      <c r="C66" s="44"/>
      <c r="D66" s="44"/>
    </row>
    <row r="67" spans="1:4" ht="21.75" customHeight="1" x14ac:dyDescent="0.3">
      <c r="A67" s="46" t="s">
        <v>48</v>
      </c>
      <c r="B67" s="46"/>
      <c r="C67" s="46"/>
      <c r="D67" s="46"/>
    </row>
    <row r="68" spans="1:4" ht="21.75" customHeight="1" x14ac:dyDescent="0.3">
      <c r="A68" s="45" t="s">
        <v>49</v>
      </c>
      <c r="B68" s="45"/>
      <c r="C68" s="45"/>
      <c r="D68" s="45"/>
    </row>
    <row r="69" spans="1:4" ht="18" customHeight="1" x14ac:dyDescent="0.3">
      <c r="A69" s="44" t="s">
        <v>8</v>
      </c>
      <c r="B69" s="44"/>
      <c r="C69" s="44"/>
      <c r="D69" s="44"/>
    </row>
    <row r="70" spans="1:4" ht="24" customHeight="1" x14ac:dyDescent="0.3">
      <c r="A70" s="2" t="s">
        <v>9</v>
      </c>
      <c r="B70" s="37" t="s">
        <v>50</v>
      </c>
      <c r="C70" s="37"/>
      <c r="D70" s="37"/>
    </row>
    <row r="71" spans="1:4" ht="24" customHeight="1" x14ac:dyDescent="0.3">
      <c r="A71" s="2" t="s">
        <v>9</v>
      </c>
      <c r="B71" s="37" t="s">
        <v>51</v>
      </c>
      <c r="C71" s="37"/>
      <c r="D71" s="37"/>
    </row>
    <row r="72" spans="1:4" ht="24" customHeight="1" x14ac:dyDescent="0.3">
      <c r="A72" s="2" t="s">
        <v>9</v>
      </c>
      <c r="B72" s="37" t="s">
        <v>52</v>
      </c>
      <c r="C72" s="37"/>
      <c r="D72" s="37"/>
    </row>
    <row r="73" spans="1:4" ht="7.5" customHeight="1" x14ac:dyDescent="0.3">
      <c r="A73" s="47"/>
      <c r="B73" s="47"/>
      <c r="C73" s="47"/>
      <c r="D73" s="47"/>
    </row>
    <row r="74" spans="1:4" ht="21.75" customHeight="1" x14ac:dyDescent="0.3">
      <c r="A74" s="42" t="s">
        <v>53</v>
      </c>
      <c r="B74" s="42"/>
      <c r="C74" s="42"/>
      <c r="D74" s="42"/>
    </row>
    <row r="75" spans="1:4" ht="21.75" customHeight="1" x14ac:dyDescent="0.3">
      <c r="A75" s="43" t="s">
        <v>54</v>
      </c>
      <c r="B75" s="43"/>
      <c r="C75" s="43"/>
      <c r="D75" s="43"/>
    </row>
    <row r="76" spans="1:4" ht="18" customHeight="1" x14ac:dyDescent="0.3">
      <c r="A76" s="44" t="s">
        <v>3</v>
      </c>
      <c r="B76" s="44"/>
      <c r="C76" s="44"/>
      <c r="D76" s="44"/>
    </row>
    <row r="77" spans="1:4" ht="27.75" customHeight="1" x14ac:dyDescent="0.3">
      <c r="A77" s="45" t="s">
        <v>55</v>
      </c>
      <c r="B77" s="45"/>
      <c r="C77" s="45"/>
      <c r="D77" s="45"/>
    </row>
    <row r="78" spans="1:4" ht="18" customHeight="1" x14ac:dyDescent="0.3">
      <c r="A78" s="44" t="s">
        <v>5</v>
      </c>
      <c r="B78" s="44"/>
      <c r="C78" s="44"/>
      <c r="D78" s="44"/>
    </row>
    <row r="79" spans="1:4" ht="21.75" customHeight="1" x14ac:dyDescent="0.3">
      <c r="A79" s="46" t="s">
        <v>56</v>
      </c>
      <c r="B79" s="46"/>
      <c r="C79" s="46"/>
      <c r="D79" s="46"/>
    </row>
    <row r="80" spans="1:4" ht="21.75" customHeight="1" x14ac:dyDescent="0.3">
      <c r="A80" s="45" t="s">
        <v>57</v>
      </c>
      <c r="B80" s="45"/>
      <c r="C80" s="45"/>
      <c r="D80" s="45"/>
    </row>
    <row r="81" spans="1:4" ht="18" customHeight="1" x14ac:dyDescent="0.3">
      <c r="A81" s="44" t="s">
        <v>8</v>
      </c>
      <c r="B81" s="44"/>
      <c r="C81" s="44"/>
      <c r="D81" s="44"/>
    </row>
    <row r="82" spans="1:4" ht="24" customHeight="1" x14ac:dyDescent="0.3">
      <c r="A82" s="2" t="s">
        <v>9</v>
      </c>
      <c r="B82" s="37" t="s">
        <v>58</v>
      </c>
      <c r="C82" s="37"/>
      <c r="D82" s="37"/>
    </row>
    <row r="83" spans="1:4" ht="24" customHeight="1" x14ac:dyDescent="0.3">
      <c r="A83" s="2" t="s">
        <v>9</v>
      </c>
      <c r="B83" s="37" t="s">
        <v>59</v>
      </c>
      <c r="C83" s="37"/>
      <c r="D83" s="37"/>
    </row>
    <row r="84" spans="1:4" ht="24" customHeight="1" x14ac:dyDescent="0.3">
      <c r="A84" s="2" t="s">
        <v>9</v>
      </c>
      <c r="B84" s="37" t="s">
        <v>60</v>
      </c>
      <c r="C84" s="37"/>
      <c r="D84" s="37"/>
    </row>
    <row r="85" spans="1:4" ht="7.5" customHeight="1" x14ac:dyDescent="0.3">
      <c r="A85" s="47"/>
      <c r="B85" s="47"/>
      <c r="C85" s="47"/>
      <c r="D85" s="47"/>
    </row>
    <row r="86" spans="1:4" ht="21.75" customHeight="1" x14ac:dyDescent="0.3">
      <c r="A86" s="42" t="s">
        <v>61</v>
      </c>
      <c r="B86" s="42"/>
      <c r="C86" s="42"/>
      <c r="D86" s="42"/>
    </row>
    <row r="87" spans="1:4" ht="21.75" customHeight="1" x14ac:dyDescent="0.3">
      <c r="A87" s="43" t="s">
        <v>62</v>
      </c>
      <c r="B87" s="43"/>
      <c r="C87" s="43"/>
      <c r="D87" s="43"/>
    </row>
    <row r="88" spans="1:4" ht="18" customHeight="1" x14ac:dyDescent="0.3">
      <c r="A88" s="44" t="s">
        <v>3</v>
      </c>
      <c r="B88" s="44"/>
      <c r="C88" s="44"/>
      <c r="D88" s="44"/>
    </row>
    <row r="89" spans="1:4" ht="27.75" customHeight="1" x14ac:dyDescent="0.3">
      <c r="A89" s="45" t="s">
        <v>63</v>
      </c>
      <c r="B89" s="45"/>
      <c r="C89" s="45"/>
      <c r="D89" s="45"/>
    </row>
    <row r="90" spans="1:4" ht="18" customHeight="1" x14ac:dyDescent="0.3">
      <c r="A90" s="44" t="s">
        <v>5</v>
      </c>
      <c r="B90" s="44"/>
      <c r="C90" s="44"/>
      <c r="D90" s="44"/>
    </row>
    <row r="91" spans="1:4" ht="21.75" customHeight="1" x14ac:dyDescent="0.3">
      <c r="A91" s="46" t="s">
        <v>64</v>
      </c>
      <c r="B91" s="46"/>
      <c r="C91" s="46"/>
      <c r="D91" s="46"/>
    </row>
    <row r="92" spans="1:4" ht="21.75" customHeight="1" x14ac:dyDescent="0.3">
      <c r="A92" s="45" t="s">
        <v>65</v>
      </c>
      <c r="B92" s="45"/>
      <c r="C92" s="45"/>
      <c r="D92" s="45"/>
    </row>
    <row r="93" spans="1:4" ht="18" customHeight="1" x14ac:dyDescent="0.3">
      <c r="A93" s="44" t="s">
        <v>8</v>
      </c>
      <c r="B93" s="44"/>
      <c r="C93" s="44"/>
      <c r="D93" s="44"/>
    </row>
    <row r="94" spans="1:4" ht="24" customHeight="1" x14ac:dyDescent="0.3">
      <c r="A94" s="2" t="s">
        <v>9</v>
      </c>
      <c r="B94" s="37" t="s">
        <v>66</v>
      </c>
      <c r="C94" s="37"/>
      <c r="D94" s="37"/>
    </row>
    <row r="95" spans="1:4" ht="24" customHeight="1" x14ac:dyDescent="0.3">
      <c r="A95" s="2" t="s">
        <v>9</v>
      </c>
      <c r="B95" s="37" t="s">
        <v>67</v>
      </c>
      <c r="C95" s="37"/>
      <c r="D95" s="37"/>
    </row>
    <row r="96" spans="1:4" ht="24" customHeight="1" x14ac:dyDescent="0.3">
      <c r="A96" s="2" t="s">
        <v>9</v>
      </c>
      <c r="B96" s="37" t="s">
        <v>68</v>
      </c>
      <c r="C96" s="37"/>
      <c r="D96" s="37"/>
    </row>
    <row r="97" spans="1:4" ht="7.5" customHeight="1" x14ac:dyDescent="0.3">
      <c r="A97" s="47"/>
      <c r="B97" s="47"/>
      <c r="C97" s="47"/>
      <c r="D97" s="47"/>
    </row>
  </sheetData>
  <mergeCells count="97">
    <mergeCell ref="B96:D96"/>
    <mergeCell ref="A97:D97"/>
    <mergeCell ref="A91:D91"/>
    <mergeCell ref="A92:D92"/>
    <mergeCell ref="A93:D93"/>
    <mergeCell ref="B94:D94"/>
    <mergeCell ref="B95:D95"/>
    <mergeCell ref="A86:D86"/>
    <mergeCell ref="A87:D87"/>
    <mergeCell ref="A88:D88"/>
    <mergeCell ref="A89:D89"/>
    <mergeCell ref="A90:D90"/>
    <mergeCell ref="A81:D81"/>
    <mergeCell ref="B82:D82"/>
    <mergeCell ref="B83:D83"/>
    <mergeCell ref="B84:D84"/>
    <mergeCell ref="A85:D85"/>
    <mergeCell ref="A76:D76"/>
    <mergeCell ref="A77:D77"/>
    <mergeCell ref="A78:D78"/>
    <mergeCell ref="A79:D79"/>
    <mergeCell ref="A80:D80"/>
    <mergeCell ref="B71:D71"/>
    <mergeCell ref="B72:D72"/>
    <mergeCell ref="A73:D73"/>
    <mergeCell ref="A74:D74"/>
    <mergeCell ref="A75:D75"/>
    <mergeCell ref="A66:D66"/>
    <mergeCell ref="A67:D67"/>
    <mergeCell ref="A68:D68"/>
    <mergeCell ref="A69:D69"/>
    <mergeCell ref="B70:D70"/>
    <mergeCell ref="A61:D61"/>
    <mergeCell ref="A62:D62"/>
    <mergeCell ref="A63:D63"/>
    <mergeCell ref="A64:D64"/>
    <mergeCell ref="A65:D65"/>
    <mergeCell ref="A56:D56"/>
    <mergeCell ref="A57:D57"/>
    <mergeCell ref="B58:D58"/>
    <mergeCell ref="B59:D59"/>
    <mergeCell ref="B60:D60"/>
    <mergeCell ref="A51:D51"/>
    <mergeCell ref="A52:D52"/>
    <mergeCell ref="A53:D53"/>
    <mergeCell ref="A54:D54"/>
    <mergeCell ref="A55:D55"/>
    <mergeCell ref="B46:D46"/>
    <mergeCell ref="B47:D47"/>
    <mergeCell ref="B48:D48"/>
    <mergeCell ref="A49:D49"/>
    <mergeCell ref="A50:D50"/>
    <mergeCell ref="A41:D41"/>
    <mergeCell ref="A42:D42"/>
    <mergeCell ref="A43:D43"/>
    <mergeCell ref="A44:D44"/>
    <mergeCell ref="A45:D45"/>
    <mergeCell ref="B36:D36"/>
    <mergeCell ref="A37:D37"/>
    <mergeCell ref="A38:D38"/>
    <mergeCell ref="A39:D39"/>
    <mergeCell ref="A40:D40"/>
    <mergeCell ref="A31:D31"/>
    <mergeCell ref="A32:D32"/>
    <mergeCell ref="A33:D33"/>
    <mergeCell ref="B34:D34"/>
    <mergeCell ref="B35:D35"/>
    <mergeCell ref="A26:D26"/>
    <mergeCell ref="A27:D27"/>
    <mergeCell ref="A28:D28"/>
    <mergeCell ref="A29:D29"/>
    <mergeCell ref="A30:D30"/>
    <mergeCell ref="A21:D21"/>
    <mergeCell ref="B22:D22"/>
    <mergeCell ref="B23:D23"/>
    <mergeCell ref="B24:D24"/>
    <mergeCell ref="A25:D25"/>
    <mergeCell ref="A16:D16"/>
    <mergeCell ref="A17:D17"/>
    <mergeCell ref="A18:D18"/>
    <mergeCell ref="A19:D19"/>
    <mergeCell ref="A20:D20"/>
    <mergeCell ref="B11:D11"/>
    <mergeCell ref="B12:D12"/>
    <mergeCell ref="A13:D13"/>
    <mergeCell ref="A14:D14"/>
    <mergeCell ref="A15:D15"/>
    <mergeCell ref="A6:D6"/>
    <mergeCell ref="A7:D7"/>
    <mergeCell ref="A8:D8"/>
    <mergeCell ref="A9:D9"/>
    <mergeCell ref="B10:D10"/>
    <mergeCell ref="A1:D1"/>
    <mergeCell ref="A2:D2"/>
    <mergeCell ref="A3:D3"/>
    <mergeCell ref="A4:D4"/>
    <mergeCell ref="A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tabSelected="1" topLeftCell="L1" zoomScaleNormal="100" workbookViewId="0">
      <selection activeCell="Q5" sqref="Q5"/>
    </sheetView>
  </sheetViews>
  <sheetFormatPr defaultColWidth="8.6640625" defaultRowHeight="14.4" x14ac:dyDescent="0.3"/>
  <cols>
    <col min="1" max="1" width="12" customWidth="1"/>
    <col min="2" max="2" width="9" customWidth="1"/>
    <col min="3" max="3" width="10" customWidth="1"/>
    <col min="4" max="4" width="11.77734375" customWidth="1"/>
    <col min="5" max="5" width="15.109375" customWidth="1"/>
    <col min="6" max="6" width="13.21875" customWidth="1"/>
    <col min="7" max="7" width="11.33203125" customWidth="1"/>
    <col min="8" max="8" width="9.44140625" customWidth="1"/>
    <col min="9" max="10" width="11.33203125" customWidth="1"/>
    <col min="11" max="11" width="12.88671875" customWidth="1"/>
    <col min="12" max="18" width="16" customWidth="1"/>
    <col min="19" max="19" width="36" customWidth="1"/>
    <col min="20" max="20" width="31.5546875" customWidth="1"/>
    <col min="21" max="21" width="30" customWidth="1"/>
    <col min="22" max="22" width="45.21875" bestFit="1" customWidth="1"/>
  </cols>
  <sheetData>
    <row r="1" spans="1:26" ht="31.5" customHeight="1" x14ac:dyDescent="0.3">
      <c r="A1" s="48" t="s">
        <v>69</v>
      </c>
      <c r="B1" s="49"/>
      <c r="C1" s="49"/>
      <c r="D1" s="49"/>
      <c r="E1" s="49"/>
      <c r="F1" s="49"/>
      <c r="G1" s="50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6" ht="18" customHeight="1" x14ac:dyDescent="0.3">
      <c r="A2" s="51" t="s">
        <v>70</v>
      </c>
      <c r="B2" s="52"/>
      <c r="C2" s="52"/>
      <c r="D2" s="52"/>
      <c r="E2" s="52"/>
      <c r="F2" s="52"/>
      <c r="G2" s="5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6" ht="19.5" customHeight="1" x14ac:dyDescent="0.3">
      <c r="A3" s="18" t="s">
        <v>71</v>
      </c>
      <c r="B3" s="19" t="s">
        <v>72</v>
      </c>
      <c r="C3" s="19" t="s">
        <v>73</v>
      </c>
      <c r="D3" s="19" t="s">
        <v>74</v>
      </c>
      <c r="E3" s="19" t="s">
        <v>75</v>
      </c>
      <c r="F3" s="19" t="s">
        <v>180</v>
      </c>
      <c r="G3" s="19" t="s">
        <v>76</v>
      </c>
      <c r="H3" s="20" t="s">
        <v>77</v>
      </c>
      <c r="I3" s="19" t="s">
        <v>179</v>
      </c>
      <c r="J3" s="19" t="s">
        <v>181</v>
      </c>
      <c r="K3" s="19" t="s">
        <v>182</v>
      </c>
      <c r="L3" s="19" t="s">
        <v>183</v>
      </c>
      <c r="M3" s="19" t="s">
        <v>184</v>
      </c>
      <c r="N3" s="19" t="s">
        <v>185</v>
      </c>
      <c r="O3" s="19" t="s">
        <v>186</v>
      </c>
      <c r="P3" s="19" t="s">
        <v>187</v>
      </c>
      <c r="Q3" s="19" t="s">
        <v>188</v>
      </c>
      <c r="R3" s="19" t="s">
        <v>189</v>
      </c>
      <c r="S3" s="24"/>
      <c r="W3" s="3" t="s">
        <v>78</v>
      </c>
      <c r="X3" s="3" t="s">
        <v>79</v>
      </c>
      <c r="Y3" s="3" t="s">
        <v>80</v>
      </c>
      <c r="Z3" s="3" t="s">
        <v>81</v>
      </c>
    </row>
    <row r="4" spans="1:26" ht="19.5" customHeight="1" x14ac:dyDescent="0.3">
      <c r="A4" s="14" t="s">
        <v>82</v>
      </c>
      <c r="B4" s="5">
        <v>82</v>
      </c>
      <c r="C4" s="5">
        <v>75</v>
      </c>
      <c r="D4" s="5">
        <v>88</v>
      </c>
      <c r="E4" s="5">
        <v>92</v>
      </c>
      <c r="F4" s="5">
        <f>SUM(Table1[[#This Row],[Maths]:[Chemistry]])</f>
        <v>245</v>
      </c>
      <c r="G4" s="5" t="s">
        <v>83</v>
      </c>
      <c r="H4" s="16" t="s">
        <v>84</v>
      </c>
      <c r="I4" s="25" t="str">
        <f>IF(Table1[[#This Row],[Total]]&gt;150,"Pass","Fail")</f>
        <v>Pass</v>
      </c>
      <c r="J4" s="25" t="str">
        <f>IF(Table1[[#This Row],[Total]]&gt;=200,"A",IF(Table1[[#This Row],[Total]]&gt;=150,"B",IF(Table1[[#This Row],[Total]]&gt;=80,"C","E")))</f>
        <v>A</v>
      </c>
      <c r="K4" s="9" t="str" cm="1">
        <f t="array" ref="K4">_xlfn.IFS(Table1[[#This Row],[Attendance %]]&gt;80,"Excellent",Table1[[#This Row],[Attendance %]]&gt;60,"Good",Table1[[#This Row],[Attendance %]]&gt;=40,"Moderate",TRUE,"Poor")</f>
        <v>Excellent</v>
      </c>
      <c r="L4" s="9" t="str">
        <f>IF(AND(Table1[[#This Row],[Maths]]&gt;50,Table1[[#This Row],[Physics]]&gt;50,Table1[[#This Row],[Chemistry]]&gt;50),"Pass","Fail")</f>
        <v>Pass</v>
      </c>
      <c r="M4" s="9" t="str">
        <f>IF(OR(Table1[[#This Row],[Maths]]&gt;90,Table1[[#This Row],[Physics]]&gt;90,Table1[[#This Row],[Chemistry]]&gt;90),"Distinction","Pass")</f>
        <v>Pass</v>
      </c>
      <c r="N4" s="9" t="str">
        <f>IF(NOT(Table1[[#This Row],[Fees Paid]]="Paid"),"Follow Up","Clear")</f>
        <v>Clear</v>
      </c>
      <c r="O4" s="9" t="str">
        <f>IFERROR(Table1[[#This Row],[Maths]]/0,"Error in formula")</f>
        <v>Error in formula</v>
      </c>
      <c r="P4" s="9" t="str">
        <f>IF(AND(Table1[[#This Row],[Attendance %]]&gt;80,OR(Table1[[#This Row],[Scholarship]]="yes",Table1[[#This Row],[Total]]&gt;150)),"Award","No")</f>
        <v>Award</v>
      </c>
      <c r="Q4" s="9" t="str">
        <f>IF(COUNTIF(Table1[[#This Row],[Fees Paid]],"Pending")&gt;2,"Alert","OK")</f>
        <v>OK</v>
      </c>
      <c r="R4" s="9" t="str">
        <f>IF(AND(Table1[[#This Row],[Maths]]&gt;50,Table1[[#This Row],[Physics]]&gt;50,Table1[[#This Row],[Chemistry]]&gt;50,Table1[[#This Row],[Attendance %]]&gt;75),"Promoted","Nil")</f>
        <v>Promoted</v>
      </c>
      <c r="S4" s="3" t="s">
        <v>85</v>
      </c>
      <c r="T4" s="6" t="s">
        <v>86</v>
      </c>
      <c r="U4" s="7" t="str">
        <f>IF(B4&gt;=50,"Pass","Fail")</f>
        <v>Pass</v>
      </c>
      <c r="V4" s="8" t="s">
        <v>87</v>
      </c>
    </row>
    <row r="5" spans="1:26" ht="19.5" customHeight="1" x14ac:dyDescent="0.3">
      <c r="A5" s="15" t="s">
        <v>88</v>
      </c>
      <c r="B5" s="9">
        <v>45</v>
      </c>
      <c r="C5" s="9">
        <v>52</v>
      </c>
      <c r="D5" s="9">
        <v>40</v>
      </c>
      <c r="E5" s="9">
        <v>70</v>
      </c>
      <c r="F5" s="9">
        <f>SUM(Table1[[#This Row],[Maths]:[Chemistry]])</f>
        <v>137</v>
      </c>
      <c r="G5" s="9" t="s">
        <v>89</v>
      </c>
      <c r="H5" s="17" t="s">
        <v>84</v>
      </c>
      <c r="I5" s="9" t="str">
        <f>IF(Table1[[#This Row],[Total]]&gt;150,"Pass","Fail")</f>
        <v>Fail</v>
      </c>
      <c r="J5" s="9" t="str">
        <f>IF(Table1[[#This Row],[Total]]&gt;=200,"A",IF(Table1[[#This Row],[Total]]&gt;=150,"B",IF(Table1[[#This Row],[Total]]&gt;=80,"C","E")))</f>
        <v>C</v>
      </c>
      <c r="K5" s="9" t="str" cm="1">
        <f t="array" ref="K5">_xlfn.IFS(Table1[[#This Row],[Attendance %]]&gt;80,"Excellent",Table1[[#This Row],[Attendance %]]&gt;60,"Good",Table1[[#This Row],[Attendance %]]&gt;=40,"Moderate",TRUE,"Poor")</f>
        <v>Good</v>
      </c>
      <c r="L5" s="9" t="str">
        <f>IF(AND(Table1[[#This Row],[Maths]]&gt;50,Table1[[#This Row],[Physics]]&gt;50,Table1[[#This Row],[Chemistry]]&gt;50),"Pass","Fail")</f>
        <v>Fail</v>
      </c>
      <c r="M5" s="9" t="str">
        <f>IF(OR(Table1[[#This Row],[Maths]]&gt;90,Table1[[#This Row],[Physics]]&gt;90,Table1[[#This Row],[Chemistry]]&gt;90),"Distinction","Pass")</f>
        <v>Pass</v>
      </c>
      <c r="N5" s="9" t="str">
        <f>IF(NOT(Table1[[#This Row],[Fees Paid]]="Paid"),"Follow Up","Clear")</f>
        <v>Clear</v>
      </c>
      <c r="O5" s="9" t="str">
        <f>IFERROR(Table1[[#This Row],[Maths]]/0,"Error in formula")</f>
        <v>Error in formula</v>
      </c>
      <c r="P5" s="9" t="str">
        <f>IF(AND(Table1[[#This Row],[Attendance %]]&gt;80,OR(Table1[[#This Row],[Scholarship]]="yes",Table1[[#This Row],[Total]]&gt;150)),"Award","No")</f>
        <v>No</v>
      </c>
      <c r="Q5" s="9" t="str">
        <f>IF(COUNTIF(Table1[[#This Row],[Fees Paid]],"Pending")&gt;2,"Alert","OK")</f>
        <v>OK</v>
      </c>
      <c r="R5" s="9" t="str">
        <f>IF(AND(Table1[[#This Row],[Maths]]&gt;50,Table1[[#This Row],[Physics]]&gt;50,Table1[[#This Row],[Chemistry]]&gt;50,Table1[[#This Row],[Attendance %]]&gt;75),"Promoted","Nil")</f>
        <v>Nil</v>
      </c>
      <c r="S5" s="3" t="s">
        <v>90</v>
      </c>
      <c r="T5" s="6" t="s">
        <v>91</v>
      </c>
      <c r="U5" s="7" t="str">
        <f>IF(B4&gt;=80,"A",IF(B4&gt;=60,"B",IF(B4&gt;=40,"C","F")))</f>
        <v>A</v>
      </c>
      <c r="V5" s="10" t="s">
        <v>92</v>
      </c>
    </row>
    <row r="6" spans="1:26" ht="19.5" customHeight="1" x14ac:dyDescent="0.3">
      <c r="A6" s="14" t="s">
        <v>93</v>
      </c>
      <c r="B6" s="5">
        <v>91</v>
      </c>
      <c r="C6" s="5">
        <v>88</v>
      </c>
      <c r="D6" s="5">
        <v>94</v>
      </c>
      <c r="E6" s="5">
        <v>96</v>
      </c>
      <c r="F6" s="5">
        <f>SUM(Table1[[#This Row],[Maths]:[Chemistry]])</f>
        <v>273</v>
      </c>
      <c r="G6" s="5" t="s">
        <v>83</v>
      </c>
      <c r="H6" s="16" t="s">
        <v>84</v>
      </c>
      <c r="I6" s="9" t="str">
        <f>IF(Table1[[#This Row],[Total]]&gt;150,"Pass","Fail")</f>
        <v>Pass</v>
      </c>
      <c r="J6" s="9" t="str">
        <f>IF(Table1[[#This Row],[Total]]&gt;=200,"A",IF(Table1[[#This Row],[Total]]&gt;=150,"B",IF(Table1[[#This Row],[Total]]&gt;=80,"C","E")))</f>
        <v>A</v>
      </c>
      <c r="K6" s="9" t="str" cm="1">
        <f t="array" ref="K6">_xlfn.IFS(Table1[[#This Row],[Attendance %]]&gt;80,"Excellent",Table1[[#This Row],[Attendance %]]&gt;60,"Good",Table1[[#This Row],[Attendance %]]&gt;=40,"Moderate",TRUE,"Poor")</f>
        <v>Excellent</v>
      </c>
      <c r="L6" s="9" t="str">
        <f>IF(AND(Table1[[#This Row],[Maths]]&gt;50,Table1[[#This Row],[Physics]]&gt;50,Table1[[#This Row],[Chemistry]]&gt;50),"Pass","Fail")</f>
        <v>Pass</v>
      </c>
      <c r="M6" s="9" t="str">
        <f>IF(OR(Table1[[#This Row],[Maths]]&gt;90,Table1[[#This Row],[Physics]]&gt;90,Table1[[#This Row],[Chemistry]]&gt;90),"Distinction","Pass")</f>
        <v>Distinction</v>
      </c>
      <c r="N6" s="9" t="str">
        <f>IF(NOT(Table1[[#This Row],[Fees Paid]]="Paid"),"Follow Up","Clear")</f>
        <v>Clear</v>
      </c>
      <c r="O6" s="9" t="str">
        <f>IFERROR(Table1[[#This Row],[Maths]]/0,"Error in formula")</f>
        <v>Error in formula</v>
      </c>
      <c r="P6" s="9" t="str">
        <f>IF(AND(Table1[[#This Row],[Attendance %]]&gt;80,OR(Table1[[#This Row],[Scholarship]]="yes",Table1[[#This Row],[Total]]&gt;150)),"Award","No")</f>
        <v>Award</v>
      </c>
      <c r="Q6" s="9" t="str">
        <f>IF(COUNTIF(Table1[[#This Row],[Fees Paid]],"Pending")&gt;2,"Alert","OK")</f>
        <v>OK</v>
      </c>
      <c r="R6" s="9" t="str">
        <f>IF(AND(Table1[[#This Row],[Maths]]&gt;50,Table1[[#This Row],[Physics]]&gt;50,Table1[[#This Row],[Chemistry]]&gt;50,Table1[[#This Row],[Attendance %]]&gt;75),"Promoted","Nil")</f>
        <v>Promoted</v>
      </c>
      <c r="S6" s="3" t="s">
        <v>94</v>
      </c>
      <c r="T6" s="6" t="s">
        <v>95</v>
      </c>
      <c r="U6" s="7" t="str">
        <f>IF(B4&gt;=80,"A",IF(B4&gt;=60,"B",IF(B4&gt;=40,"C","F")))</f>
        <v>A</v>
      </c>
      <c r="V6" s="8" t="s">
        <v>96</v>
      </c>
    </row>
    <row r="7" spans="1:26" ht="19.5" customHeight="1" x14ac:dyDescent="0.3">
      <c r="A7" s="15" t="s">
        <v>97</v>
      </c>
      <c r="B7" s="9">
        <v>55</v>
      </c>
      <c r="C7" s="9">
        <v>48</v>
      </c>
      <c r="D7" s="9">
        <v>60</v>
      </c>
      <c r="E7" s="9">
        <v>65</v>
      </c>
      <c r="F7" s="9">
        <f>SUM(Table1[[#This Row],[Maths]:[Chemistry]])</f>
        <v>163</v>
      </c>
      <c r="G7" s="9" t="s">
        <v>89</v>
      </c>
      <c r="H7" s="17" t="s">
        <v>98</v>
      </c>
      <c r="I7" s="9" t="str">
        <f>IF(Table1[[#This Row],[Total]]&gt;150,"Pass","Fail")</f>
        <v>Pass</v>
      </c>
      <c r="J7" s="9" t="str">
        <f>IF(Table1[[#This Row],[Total]]&gt;=200,"A",IF(Table1[[#This Row],[Total]]&gt;=150,"B",IF(Table1[[#This Row],[Total]]&gt;=80,"C","E")))</f>
        <v>B</v>
      </c>
      <c r="K7" s="9" t="str" cm="1">
        <f t="array" ref="K7">_xlfn.IFS(Table1[[#This Row],[Attendance %]]&gt;80,"Excellent",Table1[[#This Row],[Attendance %]]&gt;60,"Good",Table1[[#This Row],[Attendance %]]&gt;=40,"Moderate",TRUE,"Poor")</f>
        <v>Good</v>
      </c>
      <c r="L7" s="9" t="str">
        <f>IF(AND(Table1[[#This Row],[Maths]]&gt;50,Table1[[#This Row],[Physics]]&gt;50,Table1[[#This Row],[Chemistry]]&gt;50),"Pass","Fail")</f>
        <v>Fail</v>
      </c>
      <c r="M7" s="9" t="str">
        <f>IF(OR(Table1[[#This Row],[Maths]]&gt;90,Table1[[#This Row],[Physics]]&gt;90,Table1[[#This Row],[Chemistry]]&gt;90),"Distinction","Pass")</f>
        <v>Pass</v>
      </c>
      <c r="N7" s="9" t="str">
        <f>IF(NOT(Table1[[#This Row],[Fees Paid]]="Paid"),"Follow Up","Clear")</f>
        <v>Follow Up</v>
      </c>
      <c r="O7" s="9" t="str">
        <f>IFERROR(Table1[[#This Row],[Maths]]/0,"Error in formula")</f>
        <v>Error in formula</v>
      </c>
      <c r="P7" s="9" t="str">
        <f>IF(AND(Table1[[#This Row],[Attendance %]]&gt;80,OR(Table1[[#This Row],[Scholarship]]="yes",Table1[[#This Row],[Total]]&gt;150)),"Award","No")</f>
        <v>No</v>
      </c>
      <c r="Q7" s="9" t="str">
        <f>IF(COUNTIF(Table1[[#This Row],[Fees Paid]],"Pending")&gt;2,"Alert","OK")</f>
        <v>OK</v>
      </c>
      <c r="R7" s="9" t="str">
        <f>IF(AND(Table1[[#This Row],[Maths]]&gt;50,Table1[[#This Row],[Physics]]&gt;50,Table1[[#This Row],[Chemistry]]&gt;50,Table1[[#This Row],[Attendance %]]&gt;75),"Promoted","Nil")</f>
        <v>Nil</v>
      </c>
      <c r="S7" s="3" t="s">
        <v>99</v>
      </c>
      <c r="T7" s="6" t="s">
        <v>100</v>
      </c>
      <c r="U7" s="7" t="str">
        <f>IF(AND(B4&gt;=50,C4&gt;=50,D4&gt;=50),"Pass","Fail")</f>
        <v>Pass</v>
      </c>
      <c r="V7" s="10" t="s">
        <v>101</v>
      </c>
    </row>
    <row r="8" spans="1:26" ht="19.5" customHeight="1" x14ac:dyDescent="0.3">
      <c r="A8" s="14" t="s">
        <v>102</v>
      </c>
      <c r="B8" s="5">
        <v>70</v>
      </c>
      <c r="C8" s="5">
        <v>72</v>
      </c>
      <c r="D8" s="5">
        <v>68</v>
      </c>
      <c r="E8" s="5">
        <v>85</v>
      </c>
      <c r="F8" s="5">
        <f>SUM(Table1[[#This Row],[Maths]:[Chemistry]])</f>
        <v>210</v>
      </c>
      <c r="G8" s="5" t="s">
        <v>89</v>
      </c>
      <c r="H8" s="16" t="s">
        <v>84</v>
      </c>
      <c r="I8" s="9" t="str">
        <f>IF(Table1[[#This Row],[Total]]&gt;150,"Pass","Fail")</f>
        <v>Pass</v>
      </c>
      <c r="J8" s="9" t="str">
        <f>IF(Table1[[#This Row],[Total]]&gt;=200,"A",IF(Table1[[#This Row],[Total]]&gt;=150,"B",IF(Table1[[#This Row],[Total]]&gt;=80,"C","E")))</f>
        <v>A</v>
      </c>
      <c r="K8" s="9" t="str" cm="1">
        <f t="array" ref="K8">_xlfn.IFS(Table1[[#This Row],[Attendance %]]&gt;80,"Excellent",Table1[[#This Row],[Attendance %]]&gt;60,"Good",Table1[[#This Row],[Attendance %]]&gt;=40,"Moderate",TRUE,"Poor")</f>
        <v>Excellent</v>
      </c>
      <c r="L8" s="9" t="str">
        <f>IF(AND(Table1[[#This Row],[Maths]]&gt;50,Table1[[#This Row],[Physics]]&gt;50,Table1[[#This Row],[Chemistry]]&gt;50),"Pass","Fail")</f>
        <v>Pass</v>
      </c>
      <c r="M8" s="9" t="str">
        <f>IF(OR(Table1[[#This Row],[Maths]]&gt;90,Table1[[#This Row],[Physics]]&gt;90,Table1[[#This Row],[Chemistry]]&gt;90),"Distinction","Pass")</f>
        <v>Pass</v>
      </c>
      <c r="N8" s="9" t="str">
        <f>IF(NOT(Table1[[#This Row],[Fees Paid]]="Paid"),"Follow Up","Clear")</f>
        <v>Clear</v>
      </c>
      <c r="O8" s="9" t="str">
        <f>IFERROR(Table1[[#This Row],[Maths]]/0,"Error in formula")</f>
        <v>Error in formula</v>
      </c>
      <c r="P8" s="9" t="str">
        <f>IF(AND(Table1[[#This Row],[Attendance %]]&gt;80,OR(Table1[[#This Row],[Scholarship]]="yes",Table1[[#This Row],[Total]]&gt;150)),"Award","No")</f>
        <v>Award</v>
      </c>
      <c r="Q8" s="9" t="str">
        <f>IF(COUNTIF(Table1[[#This Row],[Fees Paid]],"Pending")&gt;2,"Alert","OK")</f>
        <v>OK</v>
      </c>
      <c r="R8" s="9" t="str">
        <f>IF(AND(Table1[[#This Row],[Maths]]&gt;50,Table1[[#This Row],[Physics]]&gt;50,Table1[[#This Row],[Chemistry]]&gt;50,Table1[[#This Row],[Attendance %]]&gt;75),"Promoted","Nil")</f>
        <v>Promoted</v>
      </c>
      <c r="S8" s="3" t="s">
        <v>103</v>
      </c>
      <c r="T8" s="6" t="s">
        <v>104</v>
      </c>
      <c r="U8" s="7" t="str">
        <f>IF(OR(B4&gt;=90,C4&gt;=90,D4&gt;=90),"Distinction","")</f>
        <v/>
      </c>
      <c r="V8" s="8" t="s">
        <v>105</v>
      </c>
    </row>
    <row r="9" spans="1:26" ht="19.5" customHeight="1" x14ac:dyDescent="0.3">
      <c r="A9" s="15" t="s">
        <v>106</v>
      </c>
      <c r="B9" s="9">
        <v>38</v>
      </c>
      <c r="C9" s="9">
        <v>42</v>
      </c>
      <c r="D9" s="9">
        <v>35</v>
      </c>
      <c r="E9" s="9">
        <v>50</v>
      </c>
      <c r="F9" s="9">
        <f>SUM(Table1[[#This Row],[Maths]:[Chemistry]])</f>
        <v>115</v>
      </c>
      <c r="G9" s="9" t="s">
        <v>89</v>
      </c>
      <c r="H9" s="17" t="s">
        <v>98</v>
      </c>
      <c r="I9" s="9" t="str">
        <f>IF(Table1[[#This Row],[Total]]&gt;150,"Pass","Fail")</f>
        <v>Fail</v>
      </c>
      <c r="J9" s="9" t="str">
        <f>IF(Table1[[#This Row],[Total]]&gt;=200,"A",IF(Table1[[#This Row],[Total]]&gt;=150,"B",IF(Table1[[#This Row],[Total]]&gt;=80,"C","E")))</f>
        <v>C</v>
      </c>
      <c r="K9" s="9" t="str" cm="1">
        <f t="array" ref="K9">_xlfn.IFS(Table1[[#This Row],[Attendance %]]&gt;80,"Excellent",Table1[[#This Row],[Attendance %]]&gt;60,"Good",Table1[[#This Row],[Attendance %]]&gt;=40,"Moderate",TRUE,"Poor")</f>
        <v>Moderate</v>
      </c>
      <c r="L9" s="9" t="str">
        <f>IF(AND(Table1[[#This Row],[Maths]]&gt;50,Table1[[#This Row],[Physics]]&gt;50,Table1[[#This Row],[Chemistry]]&gt;50),"Pass","Fail")</f>
        <v>Fail</v>
      </c>
      <c r="M9" s="9" t="str">
        <f>IF(OR(Table1[[#This Row],[Maths]]&gt;90,Table1[[#This Row],[Physics]]&gt;90,Table1[[#This Row],[Chemistry]]&gt;90),"Distinction","Pass")</f>
        <v>Pass</v>
      </c>
      <c r="N9" s="9" t="str">
        <f>IF(NOT(Table1[[#This Row],[Fees Paid]]="Paid"),"Follow Up","Clear")</f>
        <v>Follow Up</v>
      </c>
      <c r="O9" s="9" t="str">
        <f>IFERROR(Table1[[#This Row],[Maths]]/0,"Error in formula")</f>
        <v>Error in formula</v>
      </c>
      <c r="P9" s="9" t="str">
        <f>IF(AND(Table1[[#This Row],[Attendance %]]&gt;80,OR(Table1[[#This Row],[Scholarship]]="yes",Table1[[#This Row],[Total]]&gt;150)),"Award","No")</f>
        <v>No</v>
      </c>
      <c r="Q9" s="9" t="str">
        <f>IF(COUNTIF(Table1[[#This Row],[Fees Paid]],"Pending")&gt;2,"Alert","OK")</f>
        <v>OK</v>
      </c>
      <c r="R9" s="9" t="str">
        <f>IF(AND(Table1[[#This Row],[Maths]]&gt;50,Table1[[#This Row],[Physics]]&gt;50,Table1[[#This Row],[Chemistry]]&gt;50,Table1[[#This Row],[Attendance %]]&gt;75),"Promoted","Nil")</f>
        <v>Nil</v>
      </c>
      <c r="S9" s="3" t="s">
        <v>107</v>
      </c>
      <c r="T9" s="6" t="s">
        <v>108</v>
      </c>
      <c r="U9" s="7" t="str">
        <f>IF(NOT(H4="Paid"),"Follow Up","Clear")</f>
        <v>Clear</v>
      </c>
      <c r="V9" s="10" t="s">
        <v>109</v>
      </c>
    </row>
    <row r="10" spans="1:26" ht="19.5" customHeight="1" x14ac:dyDescent="0.3">
      <c r="A10" s="14" t="s">
        <v>110</v>
      </c>
      <c r="B10" s="5">
        <v>78</v>
      </c>
      <c r="C10" s="5">
        <v>80</v>
      </c>
      <c r="D10" s="5">
        <v>74</v>
      </c>
      <c r="E10" s="5">
        <v>88</v>
      </c>
      <c r="F10" s="5">
        <f>SUM(Table1[[#This Row],[Maths]:[Chemistry]])</f>
        <v>232</v>
      </c>
      <c r="G10" s="5" t="s">
        <v>83</v>
      </c>
      <c r="H10" s="16" t="s">
        <v>84</v>
      </c>
      <c r="I10" s="9" t="str">
        <f>IF(Table1[[#This Row],[Total]]&gt;150,"Pass","Fail")</f>
        <v>Pass</v>
      </c>
      <c r="J10" s="9" t="str">
        <f>IF(Table1[[#This Row],[Total]]&gt;=200,"A",IF(Table1[[#This Row],[Total]]&gt;=150,"B",IF(Table1[[#This Row],[Total]]&gt;=80,"C","E")))</f>
        <v>A</v>
      </c>
      <c r="K10" s="9" t="str" cm="1">
        <f t="array" ref="K10">_xlfn.IFS(Table1[[#This Row],[Attendance %]]&gt;80,"Excellent",Table1[[#This Row],[Attendance %]]&gt;60,"Good",Table1[[#This Row],[Attendance %]]&gt;=40,"Moderate",TRUE,"Poor")</f>
        <v>Excellent</v>
      </c>
      <c r="L10" s="9" t="str">
        <f>IF(AND(Table1[[#This Row],[Maths]]&gt;50,Table1[[#This Row],[Physics]]&gt;50,Table1[[#This Row],[Chemistry]]&gt;50),"Pass","Fail")</f>
        <v>Pass</v>
      </c>
      <c r="M10" s="9" t="str">
        <f>IF(OR(Table1[[#This Row],[Maths]]&gt;90,Table1[[#This Row],[Physics]]&gt;90,Table1[[#This Row],[Chemistry]]&gt;90),"Distinction","Pass")</f>
        <v>Pass</v>
      </c>
      <c r="N10" s="9" t="str">
        <f>IF(NOT(Table1[[#This Row],[Fees Paid]]="Paid"),"Follow Up","Clear")</f>
        <v>Clear</v>
      </c>
      <c r="O10" s="9" t="str">
        <f>IFERROR(Table1[[#This Row],[Maths]]/0,"Error in formula")</f>
        <v>Error in formula</v>
      </c>
      <c r="P10" s="9" t="str">
        <f>IF(AND(Table1[[#This Row],[Attendance %]]&gt;80,OR(Table1[[#This Row],[Scholarship]]="yes",Table1[[#This Row],[Total]]&gt;150)),"Award","No")</f>
        <v>Award</v>
      </c>
      <c r="Q10" s="9" t="str">
        <f>IF(COUNTIF(Table1[[#This Row],[Fees Paid]],"Pending")&gt;2,"Alert","OK")</f>
        <v>OK</v>
      </c>
      <c r="R10" s="9" t="str">
        <f>IF(AND(Table1[[#This Row],[Maths]]&gt;50,Table1[[#This Row],[Physics]]&gt;50,Table1[[#This Row],[Chemistry]]&gt;50,Table1[[#This Row],[Attendance %]]&gt;75),"Promoted","Nil")</f>
        <v>Promoted</v>
      </c>
      <c r="S10" s="3" t="s">
        <v>111</v>
      </c>
      <c r="T10" s="6" t="s">
        <v>112</v>
      </c>
      <c r="U10" s="7" t="str">
        <f>IFERROR(B4/0,"Error in formula")</f>
        <v>Error in formula</v>
      </c>
      <c r="V10" s="8" t="s">
        <v>113</v>
      </c>
    </row>
    <row r="11" spans="1:26" ht="19.5" customHeight="1" x14ac:dyDescent="0.3">
      <c r="A11" s="15" t="s">
        <v>114</v>
      </c>
      <c r="B11" s="9">
        <v>60</v>
      </c>
      <c r="C11" s="9">
        <v>58</v>
      </c>
      <c r="D11" s="9">
        <v>65</v>
      </c>
      <c r="E11" s="9">
        <v>55</v>
      </c>
      <c r="F11" s="9">
        <f>SUM(Table1[[#This Row],[Maths]:[Chemistry]])</f>
        <v>183</v>
      </c>
      <c r="G11" s="9" t="s">
        <v>89</v>
      </c>
      <c r="H11" s="17" t="s">
        <v>84</v>
      </c>
      <c r="I11" s="9" t="str">
        <f>IF(Table1[[#This Row],[Total]]&gt;150,"Pass","Fail")</f>
        <v>Pass</v>
      </c>
      <c r="J11" s="9" t="str">
        <f>IF(Table1[[#This Row],[Total]]&gt;=200,"A",IF(Table1[[#This Row],[Total]]&gt;=150,"B",IF(Table1[[#This Row],[Total]]&gt;=80,"C","E")))</f>
        <v>B</v>
      </c>
      <c r="K11" s="9" t="str" cm="1">
        <f t="array" ref="K11">_xlfn.IFS(Table1[[#This Row],[Attendance %]]&gt;80,"Excellent",Table1[[#This Row],[Attendance %]]&gt;60,"Good",Table1[[#This Row],[Attendance %]]&gt;=40,"Moderate",TRUE,"Poor")</f>
        <v>Moderate</v>
      </c>
      <c r="L11" s="9" t="str">
        <f>IF(AND(Table1[[#This Row],[Maths]]&gt;50,Table1[[#This Row],[Physics]]&gt;50,Table1[[#This Row],[Chemistry]]&gt;50),"Pass","Fail")</f>
        <v>Pass</v>
      </c>
      <c r="M11" s="9" t="str">
        <f>IF(OR(Table1[[#This Row],[Maths]]&gt;90,Table1[[#This Row],[Physics]]&gt;90,Table1[[#This Row],[Chemistry]]&gt;90),"Distinction","Pass")</f>
        <v>Pass</v>
      </c>
      <c r="N11" s="9" t="str">
        <f>IF(NOT(Table1[[#This Row],[Fees Paid]]="Paid"),"Follow Up","Clear")</f>
        <v>Clear</v>
      </c>
      <c r="O11" s="9" t="str">
        <f>IFERROR(Table1[[#This Row],[Maths]]/0,"Error in formula")</f>
        <v>Error in formula</v>
      </c>
      <c r="P11" s="9" t="str">
        <f>IF(AND(Table1[[#This Row],[Attendance %]]&gt;80,OR(Table1[[#This Row],[Scholarship]]="yes",Table1[[#This Row],[Total]]&gt;150)),"Award","No")</f>
        <v>No</v>
      </c>
      <c r="Q11" s="9" t="str">
        <f>IF(COUNTIF(Table1[[#This Row],[Fees Paid]],"Pending")&gt;2,"Alert","OK")</f>
        <v>OK</v>
      </c>
      <c r="R11" s="9" t="str">
        <f>IF(AND(Table1[[#This Row],[Maths]]&gt;50,Table1[[#This Row],[Physics]]&gt;50,Table1[[#This Row],[Chemistry]]&gt;50,Table1[[#This Row],[Attendance %]]&gt;75),"Promoted","Nil")</f>
        <v>Nil</v>
      </c>
      <c r="S11" s="3" t="s">
        <v>115</v>
      </c>
      <c r="T11" s="6" t="s">
        <v>116</v>
      </c>
      <c r="U11" s="7" t="str">
        <f>IF(AND(E4&gt;=80,OR(G4="Yes",B4&gt;=85)),"Award","No")</f>
        <v>Award</v>
      </c>
      <c r="V11" s="10" t="s">
        <v>117</v>
      </c>
    </row>
    <row r="12" spans="1:26" ht="19.5" customHeight="1" x14ac:dyDescent="0.3">
      <c r="A12" s="14" t="s">
        <v>118</v>
      </c>
      <c r="B12" s="5">
        <v>92</v>
      </c>
      <c r="C12" s="5">
        <v>90</v>
      </c>
      <c r="D12" s="5">
        <v>95</v>
      </c>
      <c r="E12" s="5">
        <v>98</v>
      </c>
      <c r="F12" s="5">
        <f>SUM(Table1[[#This Row],[Maths]:[Chemistry]])</f>
        <v>277</v>
      </c>
      <c r="G12" s="5" t="s">
        <v>83</v>
      </c>
      <c r="H12" s="16" t="s">
        <v>84</v>
      </c>
      <c r="I12" s="9" t="str">
        <f>IF(Table1[[#This Row],[Total]]&gt;150,"Pass","Fail")</f>
        <v>Pass</v>
      </c>
      <c r="J12" s="9" t="str">
        <f>IF(Table1[[#This Row],[Total]]&gt;=200,"A",IF(Table1[[#This Row],[Total]]&gt;=150,"B",IF(Table1[[#This Row],[Total]]&gt;=80,"C","E")))</f>
        <v>A</v>
      </c>
      <c r="K12" s="9" t="str" cm="1">
        <f t="array" ref="K12">_xlfn.IFS(Table1[[#This Row],[Attendance %]]&gt;80,"Excellent",Table1[[#This Row],[Attendance %]]&gt;60,"Good",Table1[[#This Row],[Attendance %]]&gt;=40,"Moderate",TRUE,"Poor")</f>
        <v>Excellent</v>
      </c>
      <c r="L12" s="9" t="str">
        <f>IF(AND(Table1[[#This Row],[Maths]]&gt;50,Table1[[#This Row],[Physics]]&gt;50,Table1[[#This Row],[Chemistry]]&gt;50),"Pass","Fail")</f>
        <v>Pass</v>
      </c>
      <c r="M12" s="9" t="str">
        <f>IF(OR(Table1[[#This Row],[Maths]]&gt;90,Table1[[#This Row],[Physics]]&gt;90,Table1[[#This Row],[Chemistry]]&gt;90),"Distinction","Pass")</f>
        <v>Distinction</v>
      </c>
      <c r="N12" s="9" t="str">
        <f>IF(NOT(Table1[[#This Row],[Fees Paid]]="Paid"),"Follow Up","Clear")</f>
        <v>Clear</v>
      </c>
      <c r="O12" s="9" t="str">
        <f>IFERROR(Table1[[#This Row],[Maths]]/0,"Error in formula")</f>
        <v>Error in formula</v>
      </c>
      <c r="P12" s="9" t="str">
        <f>IF(AND(Table1[[#This Row],[Attendance %]]&gt;80,OR(Table1[[#This Row],[Scholarship]]="yes",Table1[[#This Row],[Total]]&gt;150)),"Award","No")</f>
        <v>Award</v>
      </c>
      <c r="Q12" s="9" t="str">
        <f>IF(COUNTIF(Table1[[#This Row],[Fees Paid]],"Pending")&gt;2,"Alert","OK")</f>
        <v>OK</v>
      </c>
      <c r="R12" s="9" t="str">
        <f>IF(AND(Table1[[#This Row],[Maths]]&gt;50,Table1[[#This Row],[Physics]]&gt;50,Table1[[#This Row],[Chemistry]]&gt;50,Table1[[#This Row],[Attendance %]]&gt;75),"Promoted","Nil")</f>
        <v>Promoted</v>
      </c>
      <c r="S12" s="3" t="s">
        <v>119</v>
      </c>
      <c r="T12" s="6" t="s">
        <v>120</v>
      </c>
      <c r="U12" s="7" t="str">
        <f>IF(COUNTIF(H4:H13,"Pending")&gt;2,"Alert","OK")</f>
        <v>Alert</v>
      </c>
      <c r="V12" s="8" t="s">
        <v>121</v>
      </c>
    </row>
    <row r="13" spans="1:26" ht="19.5" customHeight="1" x14ac:dyDescent="0.3">
      <c r="A13" s="21" t="s">
        <v>122</v>
      </c>
      <c r="B13" s="22">
        <v>48</v>
      </c>
      <c r="C13" s="22">
        <v>44</v>
      </c>
      <c r="D13" s="22">
        <v>50</v>
      </c>
      <c r="E13" s="22">
        <v>62</v>
      </c>
      <c r="F13" s="22">
        <f>SUM(Table1[[#This Row],[Maths]:[Chemistry]])</f>
        <v>142</v>
      </c>
      <c r="G13" s="22" t="s">
        <v>89</v>
      </c>
      <c r="H13" s="23" t="s">
        <v>98</v>
      </c>
      <c r="I13" s="22" t="str">
        <f>IF(Table1[[#This Row],[Total]]&gt;150,"Pass","Fail")</f>
        <v>Fail</v>
      </c>
      <c r="J13" s="22" t="str">
        <f>IF(Table1[[#This Row],[Total]]&gt;=200,"A",IF(Table1[[#This Row],[Total]]&gt;=150,"B",IF(Table1[[#This Row],[Total]]&gt;=80,"C","E")))</f>
        <v>C</v>
      </c>
      <c r="K13" s="9" t="str" cm="1">
        <f t="array" ref="K13">_xlfn.IFS(Table1[[#This Row],[Attendance %]]&gt;80,"Excellent",Table1[[#This Row],[Attendance %]]&gt;60,"Good",Table1[[#This Row],[Attendance %]]&gt;=40,"Moderate",TRUE,"Poor")</f>
        <v>Good</v>
      </c>
      <c r="L13" s="9" t="str">
        <f>IF(AND(Table1[[#This Row],[Maths]]&gt;50,Table1[[#This Row],[Physics]]&gt;50,Table1[[#This Row],[Chemistry]]&gt;50),"Pass","Fail")</f>
        <v>Fail</v>
      </c>
      <c r="M13" s="9" t="str">
        <f>IF(OR(Table1[[#This Row],[Maths]]&gt;90,Table1[[#This Row],[Physics]]&gt;90,Table1[[#This Row],[Chemistry]]&gt;90),"Distinction","Pass")</f>
        <v>Pass</v>
      </c>
      <c r="N13" s="9" t="str">
        <f>IF(NOT(Table1[[#This Row],[Fees Paid]]="Paid"),"Follow Up","Clear")</f>
        <v>Follow Up</v>
      </c>
      <c r="O13" s="9" t="str">
        <f>IFERROR(Table1[[#This Row],[Maths]]/0,"Error in formula")</f>
        <v>Error in formula</v>
      </c>
      <c r="P13" s="9" t="str">
        <f>IF(AND(Table1[[#This Row],[Attendance %]]&gt;80,OR(Table1[[#This Row],[Scholarship]]="yes",Table1[[#This Row],[Total]]&gt;150)),"Award","No")</f>
        <v>No</v>
      </c>
      <c r="Q13" s="9" t="str">
        <f>IF(COUNTIF(Table1[[#This Row],[Fees Paid]],"Pending")&gt;2,"Alert","OK")</f>
        <v>OK</v>
      </c>
      <c r="R13" s="9" t="str">
        <f>IF(AND(Table1[[#This Row],[Maths]]&gt;50,Table1[[#This Row],[Physics]]&gt;50,Table1[[#This Row],[Chemistry]]&gt;50,Table1[[#This Row],[Attendance %]]&gt;75),"Promoted","Nil")</f>
        <v>Nil</v>
      </c>
      <c r="S13" s="3" t="s">
        <v>123</v>
      </c>
      <c r="T13" s="6" t="s">
        <v>124</v>
      </c>
      <c r="U13" s="7" t="str">
        <f>IF(AND(B4&gt;=50,C4&gt;=50,D4&gt;=50,E4&gt;=75),"Promoted","Detained")</f>
        <v>Promoted</v>
      </c>
      <c r="V13" s="10" t="s">
        <v>125</v>
      </c>
    </row>
    <row r="15" spans="1:26" ht="13.5" customHeight="1" x14ac:dyDescent="0.3">
      <c r="A15" s="39" t="s">
        <v>126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</sheetData>
  <mergeCells count="3">
    <mergeCell ref="A15:U15"/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topLeftCell="L1" zoomScale="82" zoomScaleNormal="100" workbookViewId="0">
      <selection activeCell="S4" sqref="S4"/>
    </sheetView>
  </sheetViews>
  <sheetFormatPr defaultColWidth="8.6640625" defaultRowHeight="14.4" x14ac:dyDescent="0.3"/>
  <cols>
    <col min="1" max="1" width="13" customWidth="1"/>
    <col min="2" max="2" width="9" customWidth="1"/>
    <col min="3" max="3" width="17.33203125" customWidth="1"/>
    <col min="4" max="4" width="19.6640625" customWidth="1"/>
    <col min="5" max="5" width="15.21875" customWidth="1"/>
    <col min="6" max="6" width="15" customWidth="1"/>
    <col min="7" max="7" width="13.6640625" customWidth="1"/>
    <col min="8" max="9" width="13.109375" customWidth="1"/>
    <col min="10" max="19" width="17" customWidth="1"/>
    <col min="20" max="20" width="7" customWidth="1"/>
    <col min="21" max="25" width="16" customWidth="1"/>
  </cols>
  <sheetData>
    <row r="1" spans="1:26" ht="19.5" customHeight="1" x14ac:dyDescent="0.3">
      <c r="A1" s="18" t="s">
        <v>127</v>
      </c>
      <c r="B1" s="19" t="s">
        <v>128</v>
      </c>
      <c r="C1" s="19" t="s">
        <v>129</v>
      </c>
      <c r="D1" s="19" t="s">
        <v>130</v>
      </c>
      <c r="E1" s="19" t="s">
        <v>131</v>
      </c>
      <c r="F1" s="19" t="s">
        <v>132</v>
      </c>
      <c r="G1" s="19" t="s">
        <v>133</v>
      </c>
      <c r="H1" s="20" t="s">
        <v>190</v>
      </c>
      <c r="I1" s="19" t="s">
        <v>191</v>
      </c>
      <c r="J1" s="19" t="s">
        <v>192</v>
      </c>
      <c r="K1" s="19" t="s">
        <v>193</v>
      </c>
      <c r="L1" s="19" t="s">
        <v>194</v>
      </c>
      <c r="M1" s="19" t="s">
        <v>195</v>
      </c>
      <c r="N1" s="19" t="s">
        <v>196</v>
      </c>
      <c r="O1" s="19" t="s">
        <v>197</v>
      </c>
      <c r="P1" s="19" t="s">
        <v>198</v>
      </c>
      <c r="Q1" s="19" t="s">
        <v>199</v>
      </c>
      <c r="R1" s="19" t="s">
        <v>200</v>
      </c>
      <c r="S1" s="19" t="s">
        <v>201</v>
      </c>
      <c r="T1" s="4"/>
      <c r="U1" s="1" t="s">
        <v>134</v>
      </c>
      <c r="V1" s="36" t="s">
        <v>135</v>
      </c>
      <c r="W1" s="36"/>
      <c r="X1" s="36"/>
      <c r="Y1" s="36"/>
      <c r="Z1" s="36"/>
    </row>
    <row r="2" spans="1:26" ht="31.5" customHeight="1" x14ac:dyDescent="0.3">
      <c r="A2" s="14" t="s">
        <v>136</v>
      </c>
      <c r="B2" s="5" t="s">
        <v>137</v>
      </c>
      <c r="C2" s="5">
        <v>5</v>
      </c>
      <c r="D2" s="5">
        <v>88</v>
      </c>
      <c r="E2" s="5">
        <v>12</v>
      </c>
      <c r="F2" s="5">
        <v>3</v>
      </c>
      <c r="G2" s="5">
        <v>14.5</v>
      </c>
      <c r="H2" s="27" t="str">
        <f>IF(Table2[[#This Row],[Performance Score]]&gt;=80,"Eligible","Not Eligible")</f>
        <v>Eligible</v>
      </c>
      <c r="I2" s="31" t="str" cm="1">
        <f t="array" ref="I2">_xlfn.IFS(Table2[[#This Row],[Performance Score]]&gt;90,"Outstanding",Table2[[#This Row],[Performance Score]]&gt;=75,"Good",Table2[[#This Row],[Performance Score]]&gt;=60,"Average",TRUE,"Needs improvement")</f>
        <v>Good</v>
      </c>
      <c r="J2" s="31" t="str">
        <f>IF(AND(Table2[[#This Row],[Review flag]],Table2[[#This Row],[Experience (Yrs)]]&gt;5,Table2[[#This Row],[Performance Score]]&gt;=75),"Senior","Junior")</f>
        <v>Junior</v>
      </c>
      <c r="K2" s="31" t="str">
        <f>IF(OR(Table2[[#This Row],[Performance Score]]&lt;60,Table2[[#This Row],[Projects Done]]&lt;5),"Review","nil")</f>
        <v>nil</v>
      </c>
      <c r="L2" s="31" t="str">
        <f>IF(AND(Table2[[#This Row],[Performance Score]]&gt;=85,OR(Table2[[#This Row],[Certifications]]&gt;=3,Table2[[#This Row],[Projects Done]]&gt;=15)),"High Performer","")</f>
        <v>High Performer</v>
      </c>
      <c r="M2" s="32" t="str">
        <f>IF(NOT(Table2[[#This Row],[Certifications]]&gt;=1),"no cert","certified")</f>
        <v>certified</v>
      </c>
      <c r="N2" s="31">
        <f>IF(Table2[[#This Row],[Performance Score]]&gt;=80,Table2[[#This Row],[CTC (₹ LPA)]]*10%,Table2[[#This Row],[CTC (₹ LPA)]]*5%)</f>
        <v>1.4500000000000002</v>
      </c>
      <c r="O2" s="31" t="str">
        <f>IF(AND(Table2[[#This Row],[Dept]]="Dev",Table2[[#This Row],[Performance Score]]&lt;60),"Critical","OK")</f>
        <v>OK</v>
      </c>
      <c r="P2" s="31" t="str">
        <f>IFERROR(Table2[[#This Row],[Rating]],"Check data")</f>
        <v>Good</v>
      </c>
      <c r="Q2" s="31" t="str" cm="1">
        <f t="array" ref="Q2">_xlfn.IFS(AND(Table2[[#This Row],[Experience (Yrs)]]&lt;=3,Table2[[#This Row],[Performance Score]]&gt;=85),"Fast Track",AND(Table2[[#This Row],[Experience (Yrs)]]&gt;3,Table2[[#This Row],[Performance Score]]&gt;=75),"Steady",TRUE,"Standard")</f>
        <v>Steady</v>
      </c>
      <c r="R2" s="31" t="str">
        <f>IF(COUNTIF(Table2[Performance Score],"&gt;80")&gt;"7","Strong Team","Needs Work")</f>
        <v>Needs Work</v>
      </c>
      <c r="S2" s="31" t="str" cm="1">
        <f t="array" ref="S2">IF(AND(Table2[CTC (₹ LPA)]&lt;10,Table2[Experience (Yrs)]&gt;=5),"CTC review Needed", "nil")</f>
        <v>nil</v>
      </c>
      <c r="T2" s="3" t="s">
        <v>138</v>
      </c>
      <c r="U2" s="37" t="s">
        <v>139</v>
      </c>
      <c r="V2" s="37"/>
      <c r="W2" s="37"/>
      <c r="X2" s="37"/>
      <c r="Y2" s="37"/>
    </row>
    <row r="3" spans="1:26" ht="31.5" customHeight="1" x14ac:dyDescent="0.3">
      <c r="A3" s="26" t="s">
        <v>140</v>
      </c>
      <c r="B3" s="11" t="s">
        <v>141</v>
      </c>
      <c r="C3" s="11">
        <v>2</v>
      </c>
      <c r="D3" s="11">
        <v>62</v>
      </c>
      <c r="E3" s="11">
        <v>6</v>
      </c>
      <c r="F3" s="11">
        <v>1</v>
      </c>
      <c r="G3" s="11">
        <v>8</v>
      </c>
      <c r="H3" s="27" t="str">
        <f>IF(Table2[[#This Row],[Performance Score]]&gt;=80,"Eligible","Not Eligible")</f>
        <v>Not Eligible</v>
      </c>
      <c r="I3" s="5" t="str" cm="1">
        <f t="array" ref="I3">_xlfn.IFS(Table2[[#This Row],[Performance Score]]&gt;90,"Outstanding",Table2[[#This Row],[Performance Score]]&gt;=75,"Good",Table2[[#This Row],[Performance Score]]&gt;=60,"Average",TRUE,"Needs improvement")</f>
        <v>Average</v>
      </c>
      <c r="J3" s="5" t="str">
        <f>IF(AND(Table2[[#This Row],[Review flag]],Table2[[#This Row],[Experience (Yrs)]]&gt;5,Table2[[#This Row],[Performance Score]]&gt;=75),"Senior","Junior")</f>
        <v>Junior</v>
      </c>
      <c r="K3" s="5" t="str">
        <f>IF(OR(Table2[[#This Row],[Performance Score]]&lt;60,Table2[[#This Row],[Projects Done]]&lt;5),"Review","nil")</f>
        <v>nil</v>
      </c>
      <c r="L3" s="5" t="str">
        <f>IF(AND(Table2[[#This Row],[Performance Score]]&gt;=85,OR(Table2[[#This Row],[Certifications]]&gt;=3,Table2[[#This Row],[Projects Done]]&gt;=15)),"High Performer","")</f>
        <v/>
      </c>
      <c r="M3" s="5" t="str">
        <f>IF(NOT(Table2[[#This Row],[Certifications]]&gt;=1),"no cert","certified")</f>
        <v>certified</v>
      </c>
      <c r="N3" s="5">
        <f>IF(Table2[[#This Row],[Performance Score]]&gt;=80,Table2[[#This Row],[CTC (₹ LPA)]]*10%,Table2[[#This Row],[CTC (₹ LPA)]]*5%)</f>
        <v>0.4</v>
      </c>
      <c r="O3" s="5" t="str">
        <f>IF(AND(Table2[[#This Row],[Dept]]="Dev",Table2[[#This Row],[Performance Score]]&lt;60),"Critical","OK")</f>
        <v>OK</v>
      </c>
      <c r="P3" s="5" t="str">
        <f>IFERROR(Table2[[#This Row],[Rating]],"Check data")</f>
        <v>Average</v>
      </c>
      <c r="Q3" s="5" t="str" cm="1">
        <f t="array" ref="Q3">_xlfn.IFS(AND(Table2[[#This Row],[Experience (Yrs)]]&lt;=3,Table2[[#This Row],[Performance Score]]&gt;=85),"Fast Track",AND(Table2[[#This Row],[Experience (Yrs)]]&gt;3,Table2[[#This Row],[Performance Score]]&gt;=75),"Steady",TRUE,"Standard")</f>
        <v>Standard</v>
      </c>
      <c r="R3" s="5" t="str">
        <f>IF(COUNTIF(Table2[Performance Score],"&gt;80")&gt;"7","Strong Team","Needs Work")</f>
        <v>Needs Work</v>
      </c>
      <c r="S3" s="5" t="str" cm="1">
        <f t="array" ref="S3">IF(AND(Table2[CTC (₹ LPA)]&lt;10,Table2[Experience (Yrs)]&gt;=5),"CTC review Needed", "nil")</f>
        <v>nil</v>
      </c>
      <c r="T3" s="3" t="s">
        <v>142</v>
      </c>
      <c r="U3" s="38" t="s">
        <v>143</v>
      </c>
      <c r="V3" s="38"/>
      <c r="W3" s="38"/>
      <c r="X3" s="38"/>
      <c r="Y3" s="38"/>
    </row>
    <row r="4" spans="1:26" ht="31.5" customHeight="1" x14ac:dyDescent="0.3">
      <c r="A4" s="14" t="s">
        <v>144</v>
      </c>
      <c r="B4" s="5" t="s">
        <v>137</v>
      </c>
      <c r="C4" s="5">
        <v>8</v>
      </c>
      <c r="D4" s="5">
        <v>91</v>
      </c>
      <c r="E4" s="5">
        <v>18</v>
      </c>
      <c r="F4" s="5">
        <v>4</v>
      </c>
      <c r="G4" s="5">
        <v>22</v>
      </c>
      <c r="H4" s="27" t="str">
        <f>IF(Table2[[#This Row],[Performance Score]]&gt;=80,"Eligible","Not Eligible")</f>
        <v>Eligible</v>
      </c>
      <c r="I4" s="5" t="str" cm="1">
        <f t="array" ref="I4">_xlfn.IFS(Table2[[#This Row],[Performance Score]]&gt;90,"Outstanding",Table2[[#This Row],[Performance Score]]&gt;=75,"Good",Table2[[#This Row],[Performance Score]]&gt;=60,"Average",TRUE,"Needs improvement")</f>
        <v>Outstanding</v>
      </c>
      <c r="J4" s="5" t="str">
        <f>IF(AND(Table2[[#This Row],[Review flag]],Table2[[#This Row],[Experience (Yrs)]]&gt;5,Table2[[#This Row],[Performance Score]]&gt;=75),"Senior","Junior")</f>
        <v>Senior</v>
      </c>
      <c r="K4" s="5" t="str">
        <f>IF(OR(Table2[[#This Row],[Performance Score]]&lt;60,Table2[[#This Row],[Projects Done]]&lt;5),"Review","nil")</f>
        <v>nil</v>
      </c>
      <c r="L4" s="5" t="str">
        <f>IF(AND(Table2[[#This Row],[Performance Score]]&gt;=85,OR(Table2[[#This Row],[Certifications]]&gt;=3,Table2[[#This Row],[Projects Done]]&gt;=15)),"High Performer","")</f>
        <v>High Performer</v>
      </c>
      <c r="M4" s="5" t="str">
        <f>IF(NOT(Table2[[#This Row],[Certifications]]&gt;=1),"no cert","certified")</f>
        <v>certified</v>
      </c>
      <c r="N4" s="5">
        <f>IF(Table2[[#This Row],[Performance Score]]&gt;=80,Table2[[#This Row],[CTC (₹ LPA)]]*10%,Table2[[#This Row],[CTC (₹ LPA)]]*5%)</f>
        <v>2.2000000000000002</v>
      </c>
      <c r="O4" s="5" t="str">
        <f>IF(AND(Table2[[#This Row],[Dept]]="Dev",Table2[[#This Row],[Performance Score]]&lt;60),"Critical","OK")</f>
        <v>OK</v>
      </c>
      <c r="P4" s="5" t="str">
        <f>IFERROR(Table2[[#This Row],[Rating]],"Check data")</f>
        <v>Outstanding</v>
      </c>
      <c r="Q4" s="5" t="str" cm="1">
        <f t="array" ref="Q4">_xlfn.IFS(AND(Table2[[#This Row],[Experience (Yrs)]]&lt;=3,Table2[[#This Row],[Performance Score]]&gt;=85),"Fast Track",AND(Table2[[#This Row],[Experience (Yrs)]]&gt;3,Table2[[#This Row],[Performance Score]]&gt;=75),"Steady",TRUE,"Standard")</f>
        <v>Steady</v>
      </c>
      <c r="R4" s="5" t="str">
        <f>IF(COUNTIF(Table2[Performance Score],"&gt;80")&gt;"7","Strong Team","Needs Work")</f>
        <v>Needs Work</v>
      </c>
      <c r="S4" s="5" t="str" cm="1">
        <f t="array" ref="S4">IF(AND(Table2[CTC (₹ LPA)]&lt;10,Table2[Experience (Yrs)]&gt;=5),"CTC review Needed", "nil")</f>
        <v>nil</v>
      </c>
      <c r="T4" s="3" t="s">
        <v>145</v>
      </c>
      <c r="U4" s="37" t="s">
        <v>146</v>
      </c>
      <c r="V4" s="37"/>
      <c r="W4" s="37"/>
      <c r="X4" s="37"/>
      <c r="Y4" s="37"/>
    </row>
    <row r="5" spans="1:26" ht="31.5" customHeight="1" x14ac:dyDescent="0.3">
      <c r="A5" s="26" t="s">
        <v>147</v>
      </c>
      <c r="B5" s="11" t="s">
        <v>148</v>
      </c>
      <c r="C5" s="11">
        <v>3</v>
      </c>
      <c r="D5" s="11">
        <v>55</v>
      </c>
      <c r="E5" s="11">
        <v>4</v>
      </c>
      <c r="F5" s="11">
        <v>0</v>
      </c>
      <c r="G5" s="11">
        <v>6.5</v>
      </c>
      <c r="H5" s="27" t="str">
        <f>IF(Table2[[#This Row],[Performance Score]]&gt;=80,"Eligible","Not Eligible")</f>
        <v>Not Eligible</v>
      </c>
      <c r="I5" s="5" t="str" cm="1">
        <f t="array" ref="I5">_xlfn.IFS(Table2[[#This Row],[Performance Score]]&gt;90,"Outstanding",Table2[[#This Row],[Performance Score]]&gt;=75,"Good",Table2[[#This Row],[Performance Score]]&gt;=60,"Average",TRUE,"Needs improvement")</f>
        <v>Needs improvement</v>
      </c>
      <c r="J5" s="5" t="str">
        <f>IF(AND(Table2[[#This Row],[Review flag]],Table2[[#This Row],[Experience (Yrs)]]&gt;5,Table2[[#This Row],[Performance Score]]&gt;=75),"Senior","Junior")</f>
        <v>Junior</v>
      </c>
      <c r="K5" s="5" t="str">
        <f>IF(OR(Table2[[#This Row],[Performance Score]]&lt;60,Table2[[#This Row],[Projects Done]]&lt;5),"Review","nil")</f>
        <v>Review</v>
      </c>
      <c r="L5" s="5" t="str">
        <f>IF(AND(Table2[[#This Row],[Performance Score]]&gt;=85,OR(Table2[[#This Row],[Certifications]]&gt;=3,Table2[[#This Row],[Projects Done]]&gt;=15)),"High Performer","")</f>
        <v/>
      </c>
      <c r="M5" s="5" t="str">
        <f>IF(NOT(Table2[[#This Row],[Certifications]]&gt;=1),"no cert","certified")</f>
        <v>no cert</v>
      </c>
      <c r="N5" s="5">
        <f>IF(Table2[[#This Row],[Performance Score]]&gt;=80,Table2[[#This Row],[CTC (₹ LPA)]]*10%,Table2[[#This Row],[CTC (₹ LPA)]]*5%)</f>
        <v>0.32500000000000001</v>
      </c>
      <c r="O5" s="5" t="str">
        <f>IF(AND(Table2[[#This Row],[Dept]]="Dev",Table2[[#This Row],[Performance Score]]&lt;60),"Critical","OK")</f>
        <v>OK</v>
      </c>
      <c r="P5" s="5" t="str">
        <f>IFERROR(Table2[[#This Row],[Rating]],"Check data")</f>
        <v>Needs improvement</v>
      </c>
      <c r="Q5" s="5" t="str" cm="1">
        <f t="array" ref="Q5">_xlfn.IFS(AND(Table2[[#This Row],[Experience (Yrs)]]&lt;=3,Table2[[#This Row],[Performance Score]]&gt;=85),"Fast Track",AND(Table2[[#This Row],[Experience (Yrs)]]&gt;3,Table2[[#This Row],[Performance Score]]&gt;=75),"Steady",TRUE,"Standard")</f>
        <v>Standard</v>
      </c>
      <c r="R5" s="5" t="str">
        <f>IF(COUNTIF(Table2[Performance Score],"&gt;80")&gt;"7","Strong Team","Needs Work")</f>
        <v>Needs Work</v>
      </c>
      <c r="S5" s="5" t="str" cm="1">
        <f t="array" ref="S5">IF(AND(Table2[CTC (₹ LPA)]&lt;10,Table2[Experience (Yrs)]&gt;=5),"CTC review Needed", "nil")</f>
        <v>nil</v>
      </c>
      <c r="T5" s="3" t="s">
        <v>149</v>
      </c>
      <c r="U5" s="38" t="s">
        <v>150</v>
      </c>
      <c r="V5" s="38"/>
      <c r="W5" s="38"/>
      <c r="X5" s="38"/>
      <c r="Y5" s="38"/>
    </row>
    <row r="6" spans="1:26" ht="31.5" customHeight="1" x14ac:dyDescent="0.3">
      <c r="A6" s="14" t="s">
        <v>151</v>
      </c>
      <c r="B6" s="5" t="s">
        <v>137</v>
      </c>
      <c r="C6" s="5">
        <v>1</v>
      </c>
      <c r="D6" s="5">
        <v>72</v>
      </c>
      <c r="E6" s="5">
        <v>5</v>
      </c>
      <c r="F6" s="5">
        <v>2</v>
      </c>
      <c r="G6" s="5">
        <v>9.5</v>
      </c>
      <c r="H6" s="27" t="str">
        <f>IF(Table2[[#This Row],[Performance Score]]&gt;=80,"Eligible","Not Eligible")</f>
        <v>Not Eligible</v>
      </c>
      <c r="I6" s="5" t="str" cm="1">
        <f t="array" ref="I6">_xlfn.IFS(Table2[[#This Row],[Performance Score]]&gt;90,"Outstanding",Table2[[#This Row],[Performance Score]]&gt;=75,"Good",Table2[[#This Row],[Performance Score]]&gt;=60,"Average",TRUE,"Needs improvement")</f>
        <v>Average</v>
      </c>
      <c r="J6" s="5" t="str">
        <f>IF(AND(Table2[[#This Row],[Review flag]],Table2[[#This Row],[Experience (Yrs)]]&gt;5,Table2[[#This Row],[Performance Score]]&gt;=75),"Senior","Junior")</f>
        <v>Junior</v>
      </c>
      <c r="K6" s="5" t="str">
        <f>IF(OR(Table2[[#This Row],[Performance Score]]&lt;60,Table2[[#This Row],[Projects Done]]&lt;5),"Review","nil")</f>
        <v>nil</v>
      </c>
      <c r="L6" s="5" t="str">
        <f>IF(AND(Table2[[#This Row],[Performance Score]]&gt;=85,OR(Table2[[#This Row],[Certifications]]&gt;=3,Table2[[#This Row],[Projects Done]]&gt;=15)),"High Performer","")</f>
        <v/>
      </c>
      <c r="M6" s="5" t="str">
        <f>IF(NOT(Table2[[#This Row],[Certifications]]&gt;=1),"no cert","certified")</f>
        <v>certified</v>
      </c>
      <c r="N6" s="5">
        <f>IF(Table2[[#This Row],[Performance Score]]&gt;=80,Table2[[#This Row],[CTC (₹ LPA)]]*10%,Table2[[#This Row],[CTC (₹ LPA)]]*5%)</f>
        <v>0.47500000000000003</v>
      </c>
      <c r="O6" s="5" t="str">
        <f>IF(AND(Table2[[#This Row],[Dept]]="Dev",Table2[[#This Row],[Performance Score]]&lt;60),"Critical","OK")</f>
        <v>OK</v>
      </c>
      <c r="P6" s="5" t="str">
        <f>IFERROR(Table2[[#This Row],[Rating]],"Check data")</f>
        <v>Average</v>
      </c>
      <c r="Q6" s="5" t="str" cm="1">
        <f t="array" ref="Q6">_xlfn.IFS(AND(Table2[[#This Row],[Experience (Yrs)]]&lt;=3,Table2[[#This Row],[Performance Score]]&gt;=85),"Fast Track",AND(Table2[[#This Row],[Experience (Yrs)]]&gt;3,Table2[[#This Row],[Performance Score]]&gt;=75),"Steady",TRUE,"Standard")</f>
        <v>Standard</v>
      </c>
      <c r="R6" s="5" t="str">
        <f>IF(COUNTIF(Table2[Performance Score],"&gt;80")&gt;"7","Strong Team","Needs Work")</f>
        <v>Needs Work</v>
      </c>
      <c r="S6" s="5" t="str" cm="1">
        <f t="array" ref="S6">IF(AND(Table2[CTC (₹ LPA)]&lt;10,Table2[Experience (Yrs)]&gt;=5),"CTC review Needed", "nil")</f>
        <v>nil</v>
      </c>
      <c r="T6" s="3" t="s">
        <v>152</v>
      </c>
      <c r="U6" s="37" t="s">
        <v>153</v>
      </c>
      <c r="V6" s="37"/>
      <c r="W6" s="37"/>
      <c r="X6" s="37"/>
      <c r="Y6" s="37"/>
    </row>
    <row r="7" spans="1:26" ht="31.5" customHeight="1" x14ac:dyDescent="0.3">
      <c r="A7" s="26" t="s">
        <v>154</v>
      </c>
      <c r="B7" s="11" t="s">
        <v>141</v>
      </c>
      <c r="C7" s="11">
        <v>6</v>
      </c>
      <c r="D7" s="11">
        <v>85</v>
      </c>
      <c r="E7" s="11">
        <v>14</v>
      </c>
      <c r="F7" s="11">
        <v>3</v>
      </c>
      <c r="G7" s="11">
        <v>16</v>
      </c>
      <c r="H7" s="27" t="str">
        <f>IF(Table2[[#This Row],[Performance Score]]&gt;=80,"Eligible","Not Eligible")</f>
        <v>Eligible</v>
      </c>
      <c r="I7" s="5" t="str" cm="1">
        <f t="array" ref="I7">_xlfn.IFS(Table2[[#This Row],[Performance Score]]&gt;90,"Outstanding",Table2[[#This Row],[Performance Score]]&gt;=75,"Good",Table2[[#This Row],[Performance Score]]&gt;=60,"Average",TRUE,"Needs improvement")</f>
        <v>Good</v>
      </c>
      <c r="J7" s="5" t="str">
        <f>IF(AND(Table2[[#This Row],[Review flag]],Table2[[#This Row],[Experience (Yrs)]]&gt;5,Table2[[#This Row],[Performance Score]]&gt;=75),"Senior","Junior")</f>
        <v>Senior</v>
      </c>
      <c r="K7" s="5" t="str">
        <f>IF(OR(Table2[[#This Row],[Performance Score]]&lt;60,Table2[[#This Row],[Projects Done]]&lt;5),"Review","nil")</f>
        <v>nil</v>
      </c>
      <c r="L7" s="5" t="str">
        <f>IF(AND(Table2[[#This Row],[Performance Score]]&gt;=85,OR(Table2[[#This Row],[Certifications]]&gt;=3,Table2[[#This Row],[Projects Done]]&gt;=15)),"High Performer","")</f>
        <v>High Performer</v>
      </c>
      <c r="M7" s="5" t="str">
        <f>IF(NOT(Table2[[#This Row],[Certifications]]&gt;=1),"no cert","certified")</f>
        <v>certified</v>
      </c>
      <c r="N7" s="5">
        <f>IF(Table2[[#This Row],[Performance Score]]&gt;=80,Table2[[#This Row],[CTC (₹ LPA)]]*10%,Table2[[#This Row],[CTC (₹ LPA)]]*5%)</f>
        <v>1.6</v>
      </c>
      <c r="O7" s="5" t="str">
        <f>IF(AND(Table2[[#This Row],[Dept]]="Dev",Table2[[#This Row],[Performance Score]]&lt;60),"Critical","OK")</f>
        <v>OK</v>
      </c>
      <c r="P7" s="5" t="str">
        <f>IFERROR(Table2[[#This Row],[Rating]],"Check data")</f>
        <v>Good</v>
      </c>
      <c r="Q7" s="5" t="str" cm="1">
        <f t="array" ref="Q7">_xlfn.IFS(AND(Table2[[#This Row],[Experience (Yrs)]]&lt;=3,Table2[[#This Row],[Performance Score]]&gt;=85),"Fast Track",AND(Table2[[#This Row],[Experience (Yrs)]]&gt;3,Table2[[#This Row],[Performance Score]]&gt;=75),"Steady",TRUE,"Standard")</f>
        <v>Steady</v>
      </c>
      <c r="R7" s="5" t="str">
        <f>IF(COUNTIF(Table2[Performance Score],"&gt;80")&gt;"7","Strong Team","Needs Work")</f>
        <v>Needs Work</v>
      </c>
      <c r="S7" s="5" t="str" cm="1">
        <f t="array" ref="S7">IF(AND(Table2[CTC (₹ LPA)]&lt;10,Table2[Experience (Yrs)]&gt;=5),"CTC review Needed", "nil")</f>
        <v>nil</v>
      </c>
      <c r="T7" s="3" t="s">
        <v>155</v>
      </c>
      <c r="U7" s="38" t="s">
        <v>156</v>
      </c>
      <c r="V7" s="38"/>
      <c r="W7" s="38"/>
      <c r="X7" s="38"/>
      <c r="Y7" s="38"/>
    </row>
    <row r="8" spans="1:26" ht="31.5" customHeight="1" x14ac:dyDescent="0.3">
      <c r="A8" s="14" t="s">
        <v>157</v>
      </c>
      <c r="B8" s="5" t="s">
        <v>137</v>
      </c>
      <c r="C8" s="5">
        <v>4</v>
      </c>
      <c r="D8" s="5">
        <v>48</v>
      </c>
      <c r="E8" s="5">
        <v>7</v>
      </c>
      <c r="F8" s="5">
        <v>1</v>
      </c>
      <c r="G8" s="5">
        <v>11</v>
      </c>
      <c r="H8" s="27" t="str">
        <f>IF(Table2[[#This Row],[Performance Score]]&gt;=80,"Eligible","Not Eligible")</f>
        <v>Not Eligible</v>
      </c>
      <c r="I8" s="5" t="str" cm="1">
        <f t="array" ref="I8">_xlfn.IFS(Table2[[#This Row],[Performance Score]]&gt;90,"Outstanding",Table2[[#This Row],[Performance Score]]&gt;=75,"Good",Table2[[#This Row],[Performance Score]]&gt;=60,"Average",TRUE,"Needs improvement")</f>
        <v>Needs improvement</v>
      </c>
      <c r="J8" s="5" t="str">
        <f>IF(AND(Table2[[#This Row],[Review flag]],Table2[[#This Row],[Experience (Yrs)]]&gt;5,Table2[[#This Row],[Performance Score]]&gt;=75),"Senior","Junior")</f>
        <v>Junior</v>
      </c>
      <c r="K8" s="5" t="str">
        <f>IF(OR(Table2[[#This Row],[Performance Score]]&lt;60,Table2[[#This Row],[Projects Done]]&lt;5),"Review","nil")</f>
        <v>Review</v>
      </c>
      <c r="L8" s="5" t="str">
        <f>IF(AND(Table2[[#This Row],[Performance Score]]&gt;=85,OR(Table2[[#This Row],[Certifications]]&gt;=3,Table2[[#This Row],[Projects Done]]&gt;=15)),"High Performer","")</f>
        <v/>
      </c>
      <c r="M8" s="5" t="str">
        <f>IF(NOT(Table2[[#This Row],[Certifications]]&gt;=1),"no cert","certified")</f>
        <v>certified</v>
      </c>
      <c r="N8" s="5">
        <f>IF(Table2[[#This Row],[Performance Score]]&gt;=80,Table2[[#This Row],[CTC (₹ LPA)]]*10%,Table2[[#This Row],[CTC (₹ LPA)]]*5%)</f>
        <v>0.55000000000000004</v>
      </c>
      <c r="O8" s="5" t="str">
        <f>IF(AND(Table2[[#This Row],[Dept]]="Dev",Table2[[#This Row],[Performance Score]]&lt;60),"Critical","OK")</f>
        <v>Critical</v>
      </c>
      <c r="P8" s="5" t="str">
        <f>IFERROR(Table2[[#This Row],[Rating]],"Check data")</f>
        <v>Needs improvement</v>
      </c>
      <c r="Q8" s="5" t="str" cm="1">
        <f t="array" ref="Q8">_xlfn.IFS(AND(Table2[[#This Row],[Experience (Yrs)]]&lt;=3,Table2[[#This Row],[Performance Score]]&gt;=85),"Fast Track",AND(Table2[[#This Row],[Experience (Yrs)]]&gt;3,Table2[[#This Row],[Performance Score]]&gt;=75),"Steady",TRUE,"Standard")</f>
        <v>Standard</v>
      </c>
      <c r="R8" s="5" t="str">
        <f>IF(COUNTIF(Table2[Performance Score],"&gt;80")&gt;"7","Strong Team","Needs Work")</f>
        <v>Needs Work</v>
      </c>
      <c r="S8" s="5" t="str" cm="1">
        <f t="array" ref="S8">IF(AND(Table2[CTC (₹ LPA)]&lt;10,Table2[Experience (Yrs)]&gt;=5),"CTC review Needed", "nil")</f>
        <v>nil</v>
      </c>
      <c r="T8" s="3" t="s">
        <v>158</v>
      </c>
      <c r="U8" s="37" t="s">
        <v>159</v>
      </c>
      <c r="V8" s="37"/>
      <c r="W8" s="37"/>
      <c r="X8" s="37"/>
      <c r="Y8" s="37"/>
    </row>
    <row r="9" spans="1:26" ht="31.5" customHeight="1" x14ac:dyDescent="0.3">
      <c r="A9" s="26" t="s">
        <v>160</v>
      </c>
      <c r="B9" s="11" t="s">
        <v>148</v>
      </c>
      <c r="C9" s="11">
        <v>7</v>
      </c>
      <c r="D9" s="11">
        <v>78</v>
      </c>
      <c r="E9" s="11">
        <v>9</v>
      </c>
      <c r="F9" s="11">
        <v>2</v>
      </c>
      <c r="G9" s="11">
        <v>12.5</v>
      </c>
      <c r="H9" s="27" t="str">
        <f>IF(Table2[[#This Row],[Performance Score]]&gt;=80,"Eligible","Not Eligible")</f>
        <v>Not Eligible</v>
      </c>
      <c r="I9" s="5" t="str" cm="1">
        <f t="array" ref="I9">_xlfn.IFS(Table2[[#This Row],[Performance Score]]&gt;90,"Outstanding",Table2[[#This Row],[Performance Score]]&gt;=75,"Good",Table2[[#This Row],[Performance Score]]&gt;=60,"Average",TRUE,"Needs improvement")</f>
        <v>Good</v>
      </c>
      <c r="J9" s="5" t="str">
        <f>IF(AND(Table2[[#This Row],[Review flag]],Table2[[#This Row],[Experience (Yrs)]]&gt;5,Table2[[#This Row],[Performance Score]]&gt;=75),"Senior","Junior")</f>
        <v>Senior</v>
      </c>
      <c r="K9" s="5" t="str">
        <f>IF(OR(Table2[[#This Row],[Performance Score]]&lt;60,Table2[[#This Row],[Projects Done]]&lt;5),"Review","nil")</f>
        <v>nil</v>
      </c>
      <c r="L9" s="5" t="str">
        <f>IF(AND(Table2[[#This Row],[Performance Score]]&gt;=85,OR(Table2[[#This Row],[Certifications]]&gt;=3,Table2[[#This Row],[Projects Done]]&gt;=15)),"High Performer","")</f>
        <v/>
      </c>
      <c r="M9" s="5" t="str">
        <f>IF(NOT(Table2[[#This Row],[Certifications]]&gt;=1),"no cert","certified")</f>
        <v>certified</v>
      </c>
      <c r="N9" s="5">
        <f>IF(Table2[[#This Row],[Performance Score]]&gt;=80,Table2[[#This Row],[CTC (₹ LPA)]]*10%,Table2[[#This Row],[CTC (₹ LPA)]]*5%)</f>
        <v>0.625</v>
      </c>
      <c r="O9" s="5" t="str">
        <f>IF(AND(Table2[[#This Row],[Dept]]="Dev",Table2[[#This Row],[Performance Score]]&lt;60),"Critical","OK")</f>
        <v>OK</v>
      </c>
      <c r="P9" s="5" t="str">
        <f>IFERROR(Table2[[#This Row],[Rating]],"Check data")</f>
        <v>Good</v>
      </c>
      <c r="Q9" s="5" t="str" cm="1">
        <f t="array" ref="Q9">_xlfn.IFS(AND(Table2[[#This Row],[Experience (Yrs)]]&lt;=3,Table2[[#This Row],[Performance Score]]&gt;=85),"Fast Track",AND(Table2[[#This Row],[Experience (Yrs)]]&gt;3,Table2[[#This Row],[Performance Score]]&gt;=75),"Steady",TRUE,"Standard")</f>
        <v>Steady</v>
      </c>
      <c r="R9" s="5" t="str">
        <f>IF(COUNTIF(Table2[Performance Score],"&gt;80")&gt;"7","Strong Team","Needs Work")</f>
        <v>Needs Work</v>
      </c>
      <c r="S9" s="5" t="str" cm="1">
        <f t="array" ref="S9">IF(AND(Table2[CTC (₹ LPA)]&lt;10,Table2[Experience (Yrs)]&gt;=5),"CTC review Needed", "nil")</f>
        <v>nil</v>
      </c>
      <c r="T9" s="3" t="s">
        <v>161</v>
      </c>
      <c r="U9" s="38" t="s">
        <v>162</v>
      </c>
      <c r="V9" s="38"/>
      <c r="W9" s="38"/>
      <c r="X9" s="38"/>
      <c r="Y9" s="38"/>
    </row>
    <row r="10" spans="1:26" ht="31.5" customHeight="1" x14ac:dyDescent="0.3">
      <c r="A10" s="14" t="s">
        <v>163</v>
      </c>
      <c r="B10" s="5" t="s">
        <v>137</v>
      </c>
      <c r="C10" s="5">
        <v>10</v>
      </c>
      <c r="D10" s="5">
        <v>95</v>
      </c>
      <c r="E10" s="5">
        <v>22</v>
      </c>
      <c r="F10" s="5">
        <v>5</v>
      </c>
      <c r="G10" s="5">
        <v>28</v>
      </c>
      <c r="H10" s="27" t="str">
        <f>IF(Table2[[#This Row],[Performance Score]]&gt;=80,"Eligible","Not Eligible")</f>
        <v>Eligible</v>
      </c>
      <c r="I10" s="5" t="str" cm="1">
        <f t="array" ref="I10">_xlfn.IFS(Table2[[#This Row],[Performance Score]]&gt;90,"Outstanding",Table2[[#This Row],[Performance Score]]&gt;=75,"Good",Table2[[#This Row],[Performance Score]]&gt;=60,"Average",TRUE,"Needs improvement")</f>
        <v>Outstanding</v>
      </c>
      <c r="J10" s="5" t="str">
        <f>IF(AND(Table2[[#This Row],[Review flag]],Table2[[#This Row],[Experience (Yrs)]]&gt;5,Table2[[#This Row],[Performance Score]]&gt;=75),"Senior","Junior")</f>
        <v>Senior</v>
      </c>
      <c r="K10" s="5" t="str">
        <f>IF(OR(Table2[[#This Row],[Performance Score]]&lt;60,Table2[[#This Row],[Projects Done]]&lt;5),"Review","nil")</f>
        <v>nil</v>
      </c>
      <c r="L10" s="5" t="str">
        <f>IF(AND(Table2[[#This Row],[Performance Score]]&gt;=85,OR(Table2[[#This Row],[Certifications]]&gt;=3,Table2[[#This Row],[Projects Done]]&gt;=15)),"High Performer","")</f>
        <v>High Performer</v>
      </c>
      <c r="M10" s="5" t="str">
        <f>IF(NOT(Table2[[#This Row],[Certifications]]&gt;=1),"no cert","certified")</f>
        <v>certified</v>
      </c>
      <c r="N10" s="5">
        <f>IF(Table2[[#This Row],[Performance Score]]&gt;=80,Table2[[#This Row],[CTC (₹ LPA)]]*10%,Table2[[#This Row],[CTC (₹ LPA)]]*5%)</f>
        <v>2.8000000000000003</v>
      </c>
      <c r="O10" s="5" t="str">
        <f>IF(AND(Table2[[#This Row],[Dept]]="Dev",Table2[[#This Row],[Performance Score]]&lt;60),"Critical","OK")</f>
        <v>OK</v>
      </c>
      <c r="P10" s="5" t="str">
        <f>IFERROR(Table2[[#This Row],[Rating]],"Check data")</f>
        <v>Outstanding</v>
      </c>
      <c r="Q10" s="5" t="str" cm="1">
        <f t="array" ref="Q10">_xlfn.IFS(AND(Table2[[#This Row],[Experience (Yrs)]]&lt;=3,Table2[[#This Row],[Performance Score]]&gt;=85),"Fast Track",AND(Table2[[#This Row],[Experience (Yrs)]]&gt;3,Table2[[#This Row],[Performance Score]]&gt;=75),"Steady",TRUE,"Standard")</f>
        <v>Steady</v>
      </c>
      <c r="R10" s="5" t="str">
        <f>IF(COUNTIF(Table2[Performance Score],"&gt;80")&gt;"7","Strong Team","Needs Work")</f>
        <v>Needs Work</v>
      </c>
      <c r="S10" s="5" t="str" cm="1">
        <f t="array" ref="S10">IF(AND(Table2[CTC (₹ LPA)]&lt;10,Table2[Experience (Yrs)]&gt;=5),"CTC review Needed", "nil")</f>
        <v>nil</v>
      </c>
      <c r="T10" s="3" t="s">
        <v>164</v>
      </c>
      <c r="U10" s="37" t="s">
        <v>165</v>
      </c>
      <c r="V10" s="37"/>
      <c r="W10" s="37"/>
      <c r="X10" s="37"/>
      <c r="Y10" s="37"/>
    </row>
    <row r="11" spans="1:26" ht="31.5" customHeight="1" x14ac:dyDescent="0.3">
      <c r="A11" s="26" t="s">
        <v>166</v>
      </c>
      <c r="B11" s="11" t="s">
        <v>141</v>
      </c>
      <c r="C11" s="11">
        <v>2</v>
      </c>
      <c r="D11" s="11">
        <v>60</v>
      </c>
      <c r="E11" s="11">
        <v>5</v>
      </c>
      <c r="F11" s="11">
        <v>1</v>
      </c>
      <c r="G11" s="11">
        <v>7.5</v>
      </c>
      <c r="H11" s="27" t="str">
        <f>IF(Table2[[#This Row],[Performance Score]]&gt;=80,"Eligible","Not Eligible")</f>
        <v>Not Eligible</v>
      </c>
      <c r="I11" s="5" t="str" cm="1">
        <f t="array" ref="I11">_xlfn.IFS(Table2[[#This Row],[Performance Score]]&gt;90,"Outstanding",Table2[[#This Row],[Performance Score]]&gt;=75,"Good",Table2[[#This Row],[Performance Score]]&gt;=60,"Average",TRUE,"Needs improvement")</f>
        <v>Average</v>
      </c>
      <c r="J11" s="5" t="str">
        <f>IF(AND(Table2[[#This Row],[Review flag]],Table2[[#This Row],[Experience (Yrs)]]&gt;5,Table2[[#This Row],[Performance Score]]&gt;=75),"Senior","Junior")</f>
        <v>Junior</v>
      </c>
      <c r="K11" s="5" t="str">
        <f>IF(OR(Table2[[#This Row],[Performance Score]]&lt;60,Table2[[#This Row],[Projects Done]]&lt;5),"Review","nil")</f>
        <v>nil</v>
      </c>
      <c r="L11" s="5" t="str">
        <f>IF(AND(Table2[[#This Row],[Performance Score]]&gt;=85,OR(Table2[[#This Row],[Certifications]]&gt;=3,Table2[[#This Row],[Projects Done]]&gt;=15)),"High Performer","")</f>
        <v/>
      </c>
      <c r="M11" s="5" t="str">
        <f>IF(NOT(Table2[[#This Row],[Certifications]]&gt;=1),"no cert","certified")</f>
        <v>certified</v>
      </c>
      <c r="N11" s="5">
        <f>IF(Table2[[#This Row],[Performance Score]]&gt;=80,Table2[[#This Row],[CTC (₹ LPA)]]*10%,Table2[[#This Row],[CTC (₹ LPA)]]*5%)</f>
        <v>0.375</v>
      </c>
      <c r="O11" s="5" t="str">
        <f>IF(AND(Table2[[#This Row],[Dept]]="Dev",Table2[[#This Row],[Performance Score]]&lt;60),"Critical","OK")</f>
        <v>OK</v>
      </c>
      <c r="P11" s="5" t="str">
        <f>IFERROR(Table2[[#This Row],[Rating]],"Check data")</f>
        <v>Average</v>
      </c>
      <c r="Q11" s="5" t="str" cm="1">
        <f t="array" ref="Q11">_xlfn.IFS(AND(Table2[[#This Row],[Experience (Yrs)]]&lt;=3,Table2[[#This Row],[Performance Score]]&gt;=85),"Fast Track",AND(Table2[[#This Row],[Experience (Yrs)]]&gt;3,Table2[[#This Row],[Performance Score]]&gt;=75),"Steady",TRUE,"Standard")</f>
        <v>Standard</v>
      </c>
      <c r="R11" s="5" t="str">
        <f>IF(COUNTIF(Table2[Performance Score],"&gt;80")&gt;"7","Strong Team","Needs Work")</f>
        <v>Needs Work</v>
      </c>
      <c r="S11" s="5" t="str" cm="1">
        <f t="array" ref="S11">IF(AND(Table2[CTC (₹ LPA)]&lt;10,Table2[Experience (Yrs)]&gt;=5),"CTC review Needed", "nil")</f>
        <v>nil</v>
      </c>
      <c r="T11" s="3" t="s">
        <v>167</v>
      </c>
      <c r="U11" s="38" t="s">
        <v>168</v>
      </c>
      <c r="V11" s="38"/>
      <c r="W11" s="38"/>
      <c r="X11" s="38"/>
      <c r="Y11" s="38"/>
    </row>
    <row r="12" spans="1:26" ht="31.5" customHeight="1" x14ac:dyDescent="0.3">
      <c r="A12" s="14" t="s">
        <v>169</v>
      </c>
      <c r="B12" s="5" t="s">
        <v>137</v>
      </c>
      <c r="C12" s="5">
        <v>3</v>
      </c>
      <c r="D12" s="5">
        <v>82</v>
      </c>
      <c r="E12" s="5">
        <v>10</v>
      </c>
      <c r="F12" s="5">
        <v>2</v>
      </c>
      <c r="G12" s="5">
        <v>13</v>
      </c>
      <c r="H12" s="27" t="str">
        <f>IF(Table2[[#This Row],[Performance Score]]&gt;=80,"Eligible","Not Eligible")</f>
        <v>Eligible</v>
      </c>
      <c r="I12" s="5" t="str" cm="1">
        <f t="array" ref="I12">_xlfn.IFS(Table2[[#This Row],[Performance Score]]&gt;90,"Outstanding",Table2[[#This Row],[Performance Score]]&gt;=75,"Good",Table2[[#This Row],[Performance Score]]&gt;=60,"Average",TRUE,"Needs improvement")</f>
        <v>Good</v>
      </c>
      <c r="J12" s="29" t="str">
        <f>IF(AND(Table2[[#This Row],[Review flag]],Table2[[#This Row],[Experience (Yrs)]]&gt;5,Table2[[#This Row],[Performance Score]]&gt;=75),"Senior","Junior")</f>
        <v>Junior</v>
      </c>
      <c r="K12" s="29" t="str">
        <f>IF(OR(Table2[[#This Row],[Performance Score]]&lt;60,Table2[[#This Row],[Projects Done]]&lt;5),"Review","nil")</f>
        <v>nil</v>
      </c>
      <c r="L12" s="29" t="str">
        <f>IF(AND(Table2[[#This Row],[Performance Score]]&gt;=85,OR(Table2[[#This Row],[Certifications]]&gt;=3,Table2[[#This Row],[Projects Done]]&gt;=15)),"High Performer","")</f>
        <v/>
      </c>
      <c r="M12" s="29" t="str">
        <f>IF(NOT(Table2[[#This Row],[Certifications]]&gt;=1),"no cert","certified")</f>
        <v>certified</v>
      </c>
      <c r="N12" s="29">
        <f>IF(Table2[[#This Row],[Performance Score]]&gt;=80,Table2[[#This Row],[CTC (₹ LPA)]]*10%,Table2[[#This Row],[CTC (₹ LPA)]]*5%)</f>
        <v>1.3</v>
      </c>
      <c r="O12" s="29" t="str">
        <f>IF(AND(Table2[[#This Row],[Dept]]="Dev",Table2[[#This Row],[Performance Score]]&lt;60),"Critical","OK")</f>
        <v>OK</v>
      </c>
      <c r="P12" s="29" t="str">
        <f>IFERROR(Table2[[#This Row],[Rating]],"Check data")</f>
        <v>Good</v>
      </c>
      <c r="Q12" s="29" t="str" cm="1">
        <f t="array" ref="Q12">_xlfn.IFS(AND(Table2[[#This Row],[Experience (Yrs)]]&lt;=3,Table2[[#This Row],[Performance Score]]&gt;=85),"Fast Track",AND(Table2[[#This Row],[Experience (Yrs)]]&gt;3,Table2[[#This Row],[Performance Score]]&gt;=75),"Steady",TRUE,"Standard")</f>
        <v>Standard</v>
      </c>
      <c r="R12" s="29" t="str">
        <f>IF(COUNTIF(Table2[Performance Score],"&gt;80")&gt;"7","Strong Team","Needs Work")</f>
        <v>Needs Work</v>
      </c>
      <c r="S12" s="29" t="str" cm="1">
        <f t="array" ref="S12">IF(AND(Table2[CTC (₹ LPA)]&lt;10,Table2[Experience (Yrs)]&gt;=5),"CTC review Needed", "nil")</f>
        <v>nil</v>
      </c>
      <c r="T12" s="3" t="s">
        <v>170</v>
      </c>
      <c r="U12" s="37" t="s">
        <v>171</v>
      </c>
      <c r="V12" s="37"/>
      <c r="W12" s="37"/>
      <c r="X12" s="37"/>
      <c r="Y12" s="37"/>
    </row>
    <row r="13" spans="1:26" ht="31.5" customHeight="1" x14ac:dyDescent="0.3">
      <c r="A13" s="26" t="s">
        <v>172</v>
      </c>
      <c r="B13" s="11" t="s">
        <v>148</v>
      </c>
      <c r="C13" s="11">
        <v>5</v>
      </c>
      <c r="D13" s="11">
        <v>70</v>
      </c>
      <c r="E13" s="11">
        <v>6</v>
      </c>
      <c r="F13" s="11">
        <v>1</v>
      </c>
      <c r="G13" s="11">
        <v>10</v>
      </c>
      <c r="H13" s="27" t="str">
        <f>IF(Table2[[#This Row],[Performance Score]]&gt;=80,"Eligible","Not Eligible")</f>
        <v>Not Eligible</v>
      </c>
      <c r="I13" s="16" t="str" cm="1">
        <f t="array" ref="I13">_xlfn.IFS(Table2[[#This Row],[Performance Score]]&gt;90,"Outstanding",Table2[[#This Row],[Performance Score]]&gt;=75,"Good",Table2[[#This Row],[Performance Score]]&gt;=60,"Average",TRUE,"Needs improvement")</f>
        <v>Average</v>
      </c>
      <c r="J13" s="34" t="str">
        <f>IF(AND(Table2[[#This Row],[Review flag]],Table2[[#This Row],[Experience (Yrs)]]&gt;5,Table2[[#This Row],[Performance Score]]&gt;=75),"Senior","Junior")</f>
        <v>Junior</v>
      </c>
      <c r="K13" s="34" t="str">
        <f>IF(OR(Table2[[#This Row],[Performance Score]]&lt;60,Table2[[#This Row],[Projects Done]]&lt;5),"Review","nil")</f>
        <v>nil</v>
      </c>
      <c r="L13" s="34" t="str">
        <f>IF(AND(Table2[[#This Row],[Performance Score]]&gt;=85,OR(Table2[[#This Row],[Certifications]]&gt;=3,Table2[[#This Row],[Projects Done]]&gt;=15)),"High Performer","")</f>
        <v/>
      </c>
      <c r="M13" s="34" t="str">
        <f>IF(NOT(Table2[[#This Row],[Certifications]]&gt;=1),"no cert","certified")</f>
        <v>certified</v>
      </c>
      <c r="N13" s="34">
        <f>IF(Table2[[#This Row],[Performance Score]]&gt;=80,Table2[[#This Row],[CTC (₹ LPA)]]*10%,Table2[[#This Row],[CTC (₹ LPA)]]*5%)</f>
        <v>0.5</v>
      </c>
      <c r="O13" s="34" t="str">
        <f>IF(AND(Table2[[#This Row],[Dept]]="Dev",Table2[[#This Row],[Performance Score]]&lt;60),"Critical","OK")</f>
        <v>OK</v>
      </c>
      <c r="P13" s="34" t="str">
        <f>IFERROR(Table2[[#This Row],[Rating]],"Check data")</f>
        <v>Average</v>
      </c>
      <c r="Q13" s="34" t="str" cm="1">
        <f t="array" ref="Q13">_xlfn.IFS(AND(Table2[[#This Row],[Experience (Yrs)]]&lt;=3,Table2[[#This Row],[Performance Score]]&gt;=85),"Fast Track",AND(Table2[[#This Row],[Experience (Yrs)]]&gt;3,Table2[[#This Row],[Performance Score]]&gt;=75),"Steady",TRUE,"Standard")</f>
        <v>Standard</v>
      </c>
      <c r="R13" s="34" t="str">
        <f>IF(COUNTIF(Table2[Performance Score],"&gt;80")&gt;"7","Strong Team","Needs Work")</f>
        <v>Needs Work</v>
      </c>
      <c r="S13" s="34" t="str" cm="1">
        <f t="array" ref="S13">IF(AND(Table2[CTC (₹ LPA)]&lt;10,Table2[Experience (Yrs)]&gt;=5),"CTC review Needed", "nil")</f>
        <v>nil</v>
      </c>
      <c r="T13" s="35" t="s">
        <v>173</v>
      </c>
      <c r="U13" s="38" t="s">
        <v>174</v>
      </c>
      <c r="V13" s="38"/>
      <c r="W13" s="38"/>
      <c r="X13" s="38"/>
      <c r="Y13" s="38"/>
    </row>
    <row r="14" spans="1:26" ht="19.5" customHeight="1" x14ac:dyDescent="0.3">
      <c r="A14" s="14" t="s">
        <v>175</v>
      </c>
      <c r="B14" s="5" t="s">
        <v>137</v>
      </c>
      <c r="C14" s="5">
        <v>6</v>
      </c>
      <c r="D14" s="5">
        <v>44</v>
      </c>
      <c r="E14" s="5">
        <v>8</v>
      </c>
      <c r="F14" s="5">
        <v>0</v>
      </c>
      <c r="G14" s="5">
        <v>11.5</v>
      </c>
      <c r="H14" s="27" t="str">
        <f>IF(Table2[[#This Row],[Performance Score]]&gt;=80,"Eligible","Not Eligible")</f>
        <v>Not Eligible</v>
      </c>
      <c r="I14" s="16" t="str" cm="1">
        <f t="array" ref="I14">_xlfn.IFS(Table2[[#This Row],[Performance Score]]&gt;90,"Outstanding",Table2[[#This Row],[Performance Score]]&gt;=75,"Good",Table2[[#This Row],[Performance Score]]&gt;=60,"Average",TRUE,"Needs improvement")</f>
        <v>Needs improvement</v>
      </c>
      <c r="J14" s="34" t="str">
        <f>IF(AND(Table2[[#This Row],[Review flag]],Table2[[#This Row],[Experience (Yrs)]]&gt;5,Table2[[#This Row],[Performance Score]]&gt;=75),"Senior","Junior")</f>
        <v>Junior</v>
      </c>
      <c r="K14" s="34" t="str">
        <f>IF(OR(Table2[[#This Row],[Performance Score]]&lt;60,Table2[[#This Row],[Projects Done]]&lt;5),"Review","nil")</f>
        <v>Review</v>
      </c>
      <c r="L14" s="34" t="str">
        <f>IF(AND(Table2[[#This Row],[Performance Score]]&gt;=85,OR(Table2[[#This Row],[Certifications]]&gt;=3,Table2[[#This Row],[Projects Done]]&gt;=15)),"High Performer","")</f>
        <v/>
      </c>
      <c r="M14" s="34" t="str">
        <f>IF(NOT(Table2[[#This Row],[Certifications]]&gt;=1),"no cert","certified")</f>
        <v>no cert</v>
      </c>
      <c r="N14" s="34">
        <f>IF(Table2[[#This Row],[Performance Score]]&gt;=80,Table2[[#This Row],[CTC (₹ LPA)]]*10%,Table2[[#This Row],[CTC (₹ LPA)]]*5%)</f>
        <v>0.57500000000000007</v>
      </c>
      <c r="O14" s="34" t="str">
        <f>IF(AND(Table2[[#This Row],[Dept]]="Dev",Table2[[#This Row],[Performance Score]]&lt;60),"Critical","OK")</f>
        <v>Critical</v>
      </c>
      <c r="P14" s="34" t="str">
        <f>IFERROR(Table2[[#This Row],[Rating]],"Check data")</f>
        <v>Needs improvement</v>
      </c>
      <c r="Q14" s="34" t="str" cm="1">
        <f t="array" ref="Q14">_xlfn.IFS(AND(Table2[[#This Row],[Experience (Yrs)]]&lt;=3,Table2[[#This Row],[Performance Score]]&gt;=85),"Fast Track",AND(Table2[[#This Row],[Experience (Yrs)]]&gt;3,Table2[[#This Row],[Performance Score]]&gt;=75),"Steady",TRUE,"Standard")</f>
        <v>Standard</v>
      </c>
      <c r="R14" s="34" t="str">
        <f>IF(COUNTIF(Table2[Performance Score],"&gt;80")&gt;"7","Strong Team","Needs Work")</f>
        <v>Needs Work</v>
      </c>
      <c r="S14" s="34" t="str" cm="1">
        <f t="array" ref="S14">IF(AND(Table2[CTC (₹ LPA)]&lt;10,Table2[Experience (Yrs)]&gt;=5),"CTC review Needed", "nil")</f>
        <v>nil</v>
      </c>
    </row>
    <row r="15" spans="1:26" ht="19.5" customHeight="1" x14ac:dyDescent="0.3">
      <c r="A15" s="26" t="s">
        <v>176</v>
      </c>
      <c r="B15" s="11" t="s">
        <v>141</v>
      </c>
      <c r="C15" s="11">
        <v>4</v>
      </c>
      <c r="D15" s="11">
        <v>77</v>
      </c>
      <c r="E15" s="11">
        <v>11</v>
      </c>
      <c r="F15" s="11">
        <v>2</v>
      </c>
      <c r="G15" s="11">
        <v>12</v>
      </c>
      <c r="H15" s="27" t="str">
        <f>IF(Table2[[#This Row],[Performance Score]]&gt;=80,"Eligible","Not Eligible")</f>
        <v>Not Eligible</v>
      </c>
      <c r="I15" s="16" t="str" cm="1">
        <f t="array" ref="I15">_xlfn.IFS(Table2[[#This Row],[Performance Score]]&gt;90,"Outstanding",Table2[[#This Row],[Performance Score]]&gt;=75,"Good",Table2[[#This Row],[Performance Score]]&gt;=60,"Average",TRUE,"Needs improvement")</f>
        <v>Good</v>
      </c>
      <c r="J15" s="34" t="str">
        <f>IF(AND(Table2[[#This Row],[Review flag]],Table2[[#This Row],[Experience (Yrs)]]&gt;5,Table2[[#This Row],[Performance Score]]&gt;=75),"Senior","Junior")</f>
        <v>Junior</v>
      </c>
      <c r="K15" s="34" t="str">
        <f>IF(OR(Table2[[#This Row],[Performance Score]]&lt;60,Table2[[#This Row],[Projects Done]]&lt;5),"Review","nil")</f>
        <v>nil</v>
      </c>
      <c r="L15" s="34" t="str">
        <f>IF(AND(Table2[[#This Row],[Performance Score]]&gt;=85,OR(Table2[[#This Row],[Certifications]]&gt;=3,Table2[[#This Row],[Projects Done]]&gt;=15)),"High Performer","")</f>
        <v/>
      </c>
      <c r="M15" s="34" t="str">
        <f>IF(NOT(Table2[[#This Row],[Certifications]]&gt;=1),"no cert","certified")</f>
        <v>certified</v>
      </c>
      <c r="N15" s="34">
        <f>IF(Table2[[#This Row],[Performance Score]]&gt;=80,Table2[[#This Row],[CTC (₹ LPA)]]*10%,Table2[[#This Row],[CTC (₹ LPA)]]*5%)</f>
        <v>0.60000000000000009</v>
      </c>
      <c r="O15" s="34" t="str">
        <f>IF(AND(Table2[[#This Row],[Dept]]="Dev",Table2[[#This Row],[Performance Score]]&lt;60),"Critical","OK")</f>
        <v>OK</v>
      </c>
      <c r="P15" s="34" t="str">
        <f>IFERROR(Table2[[#This Row],[Rating]],"Check data")</f>
        <v>Good</v>
      </c>
      <c r="Q15" s="34" t="str" cm="1">
        <f t="array" ref="Q15">_xlfn.IFS(AND(Table2[[#This Row],[Experience (Yrs)]]&lt;=3,Table2[[#This Row],[Performance Score]]&gt;=85),"Fast Track",AND(Table2[[#This Row],[Experience (Yrs)]]&gt;3,Table2[[#This Row],[Performance Score]]&gt;=75),"Steady",TRUE,"Standard")</f>
        <v>Steady</v>
      </c>
      <c r="R15" s="34" t="str">
        <f>IF(COUNTIF(Table2[Performance Score],"&gt;80")&gt;"7","Strong Team","Needs Work")</f>
        <v>Needs Work</v>
      </c>
      <c r="S15" s="34" t="str" cm="1">
        <f t="array" ref="S15">IF(AND(Table2[CTC (₹ LPA)]&lt;10,Table2[Experience (Yrs)]&gt;=5),"CTC review Needed", "nil")</f>
        <v>nil</v>
      </c>
    </row>
    <row r="16" spans="1:26" ht="19.5" customHeight="1" x14ac:dyDescent="0.3">
      <c r="A16" s="28" t="s">
        <v>177</v>
      </c>
      <c r="B16" s="29" t="s">
        <v>137</v>
      </c>
      <c r="C16" s="29">
        <v>9</v>
      </c>
      <c r="D16" s="29">
        <v>93</v>
      </c>
      <c r="E16" s="29">
        <v>20</v>
      </c>
      <c r="F16" s="29">
        <v>4</v>
      </c>
      <c r="G16" s="29">
        <v>25</v>
      </c>
      <c r="H16" s="30" t="str">
        <f>IF(Table2[[#This Row],[Performance Score]]&gt;=80,"Eligible","Not Eligible")</f>
        <v>Eligible</v>
      </c>
      <c r="I16" s="33" t="str" cm="1">
        <f t="array" ref="I16">_xlfn.IFS(Table2[[#This Row],[Performance Score]]&gt;90,"Outstanding",Table2[[#This Row],[Performance Score]]&gt;=75,"Good",Table2[[#This Row],[Performance Score]]&gt;=60,"Average",TRUE,"Needs improvement")</f>
        <v>Outstanding</v>
      </c>
      <c r="J16" s="34" t="str">
        <f>IF(AND(Table2[[#This Row],[Review flag]],Table2[[#This Row],[Experience (Yrs)]]&gt;5,Table2[[#This Row],[Performance Score]]&gt;=75),"Senior","Junior")</f>
        <v>Senior</v>
      </c>
      <c r="K16" s="34" t="str">
        <f>IF(OR(Table2[[#This Row],[Performance Score]]&lt;60,Table2[[#This Row],[Projects Done]]&lt;5),"Review","nil")</f>
        <v>nil</v>
      </c>
      <c r="L16" s="34" t="str">
        <f>IF(AND(Table2[[#This Row],[Performance Score]]&gt;=85,OR(Table2[[#This Row],[Certifications]]&gt;=3,Table2[[#This Row],[Projects Done]]&gt;=15)),"High Performer","")</f>
        <v>High Performer</v>
      </c>
      <c r="M16" s="34" t="str">
        <f>IF(NOT(Table2[[#This Row],[Certifications]]&gt;=1),"no cert","certified")</f>
        <v>certified</v>
      </c>
      <c r="N16" s="34">
        <f>IF(Table2[[#This Row],[Performance Score]]&gt;=80,Table2[[#This Row],[CTC (₹ LPA)]]*10%,Table2[[#This Row],[CTC (₹ LPA)]]*5%)</f>
        <v>2.5</v>
      </c>
      <c r="O16" s="34" t="str">
        <f>IF(AND(Table2[[#This Row],[Dept]]="Dev",Table2[[#This Row],[Performance Score]]&lt;60),"Critical","OK")</f>
        <v>OK</v>
      </c>
      <c r="P16" s="34" t="str">
        <f>IFERROR(Table2[[#This Row],[Rating]],"Check data")</f>
        <v>Outstanding</v>
      </c>
      <c r="Q16" s="34" t="str" cm="1">
        <f t="array" ref="Q16">_xlfn.IFS(AND(Table2[[#This Row],[Experience (Yrs)]]&lt;=3,Table2[[#This Row],[Performance Score]]&gt;=85),"Fast Track",AND(Table2[[#This Row],[Experience (Yrs)]]&gt;3,Table2[[#This Row],[Performance Score]]&gt;=75),"Steady",TRUE,"Standard")</f>
        <v>Steady</v>
      </c>
      <c r="R16" s="34" t="str">
        <f>IF(COUNTIF(Table2[Performance Score],"&gt;80")&gt;"7","Strong Team","Needs Work")</f>
        <v>Needs Work</v>
      </c>
      <c r="S16" s="34" t="str" cm="1">
        <f t="array" ref="S16">IF(AND(Table2[CTC (₹ LPA)]&lt;10,Table2[Experience (Yrs)]&gt;=5),"CTC review Needed", "nil")</f>
        <v>nil</v>
      </c>
    </row>
    <row r="17" spans="1:25" ht="13.5" customHeight="1" x14ac:dyDescent="0.3">
      <c r="A17" s="39" t="s">
        <v>178</v>
      </c>
      <c r="B17" s="39"/>
      <c r="C17" s="39"/>
      <c r="D17" s="39"/>
      <c r="E17" s="39"/>
      <c r="F17" s="39"/>
      <c r="G17" s="39"/>
      <c r="H17" s="39"/>
      <c r="I17" s="39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39"/>
      <c r="U17" s="39"/>
      <c r="V17" s="39"/>
      <c r="W17" s="39"/>
      <c r="X17" s="39"/>
      <c r="Y17" s="39"/>
    </row>
  </sheetData>
  <mergeCells count="14">
    <mergeCell ref="U6:Y6"/>
    <mergeCell ref="U7:Y7"/>
    <mergeCell ref="U8:Y8"/>
    <mergeCell ref="A17:Y17"/>
    <mergeCell ref="U9:Y9"/>
    <mergeCell ref="U10:Y10"/>
    <mergeCell ref="U11:Y11"/>
    <mergeCell ref="U12:Y12"/>
    <mergeCell ref="U13:Y13"/>
    <mergeCell ref="V1:Z1"/>
    <mergeCell ref="U2:Y2"/>
    <mergeCell ref="U3:Y3"/>
    <mergeCell ref="U4:Y4"/>
    <mergeCell ref="U5:Y5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Examples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ayshanasninasni@gmail.com</cp:lastModifiedBy>
  <cp:revision>0</cp:revision>
  <dcterms:created xsi:type="dcterms:W3CDTF">2026-08-17T08:37:04Z</dcterms:created>
  <dcterms:modified xsi:type="dcterms:W3CDTF">2026-09-03T09:41:44Z</dcterms:modified>
  <dc:language>en-US</dc:language>
</cp:coreProperties>
</file>
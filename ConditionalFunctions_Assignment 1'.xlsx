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23cf5ec3f6159c/Documents/"/>
    </mc:Choice>
  </mc:AlternateContent>
  <xr:revisionPtr revIDLastSave="0" documentId="8_{688E6F7E-19BA-4AD6-9135-2E8506A4EAEE}" xr6:coauthVersionLast="47" xr6:coauthVersionMax="47" xr10:uidLastSave="{00000000-0000-0000-0000-000000000000}"/>
  <bookViews>
    <workbookView xWindow="-108" yWindow="-108" windowWidth="23256" windowHeight="12456" tabRatio="744" xr2:uid="{00000000-000D-0000-FFFF-FFFF00000000}"/>
  </bookViews>
  <sheets>
    <sheet name="Sports" sheetId="1" r:id="rId1"/>
    <sheet name="Attendance" sheetId="2" r:id="rId2"/>
    <sheet name="Mobile_store" sheetId="3" r:id="rId3"/>
    <sheet name="Quiz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4" l="1"/>
  <c r="I42" i="4"/>
  <c r="I41" i="4"/>
  <c r="I40" i="4"/>
  <c r="I39" i="4"/>
  <c r="I38" i="4"/>
  <c r="I37" i="4"/>
  <c r="I36" i="4"/>
  <c r="I35" i="4"/>
  <c r="I34" i="4"/>
  <c r="I33" i="4"/>
  <c r="I32" i="4"/>
  <c r="I31" i="4"/>
  <c r="I29" i="4"/>
  <c r="I30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4" i="4"/>
  <c r="I12" i="4"/>
  <c r="I11" i="4"/>
  <c r="I10" i="4"/>
  <c r="I9" i="4"/>
  <c r="I8" i="4"/>
  <c r="I7" i="4"/>
  <c r="I6" i="4"/>
  <c r="I5" i="4"/>
  <c r="B26" i="2"/>
  <c r="B25" i="2"/>
  <c r="B20" i="2"/>
  <c r="B21" i="2"/>
  <c r="B19" i="2"/>
  <c r="B26" i="1"/>
  <c r="B25" i="1"/>
  <c r="B24" i="1"/>
  <c r="B20" i="1"/>
  <c r="B19" i="1"/>
  <c r="B18" i="1"/>
  <c r="B25" i="3"/>
  <c r="B24" i="3"/>
  <c r="B20" i="3"/>
  <c r="B19" i="3"/>
</calcChain>
</file>

<file path=xl/sharedStrings.xml><?xml version="1.0" encoding="utf-8"?>
<sst xmlns="http://schemas.openxmlformats.org/spreadsheetml/2006/main" count="290" uniqueCount="139">
  <si>
    <t>Sports Day — House Points Record</t>
  </si>
  <si>
    <t>Student Name</t>
  </si>
  <si>
    <t>House</t>
  </si>
  <si>
    <t>Event</t>
  </si>
  <si>
    <t>Gender</t>
  </si>
  <si>
    <t>Points Scored</t>
  </si>
  <si>
    <t>Arjun Kumar</t>
  </si>
  <si>
    <t>Red</t>
  </si>
  <si>
    <t>Running</t>
  </si>
  <si>
    <t>Boy</t>
  </si>
  <si>
    <t>Priya Nair</t>
  </si>
  <si>
    <t>Blue</t>
  </si>
  <si>
    <t>Girl</t>
  </si>
  <si>
    <t>Rohan Mehta</t>
  </si>
  <si>
    <t>Long Jump</t>
  </si>
  <si>
    <t>Sneha Patel</t>
  </si>
  <si>
    <t>Green</t>
  </si>
  <si>
    <t>Vikram Das</t>
  </si>
  <si>
    <t>Anjali Singh</t>
  </si>
  <si>
    <t>Relay</t>
  </si>
  <si>
    <t>Rahul Gupta</t>
  </si>
  <si>
    <t>Meera Iyer</t>
  </si>
  <si>
    <t>Karan Joshi</t>
  </si>
  <si>
    <t>Divya Sharma</t>
  </si>
  <si>
    <t>Farhan Ali</t>
  </si>
  <si>
    <t>Ishita Rao</t>
  </si>
  <si>
    <t>Total Points</t>
  </si>
  <si>
    <t>Total Points (Boys only)</t>
  </si>
  <si>
    <t>Monthly Attendance Log — Grade 8</t>
  </si>
  <si>
    <t>Section</t>
  </si>
  <si>
    <t>Month</t>
  </si>
  <si>
    <t>Status</t>
  </si>
  <si>
    <t>Late Arrival (Y/N)</t>
  </si>
  <si>
    <t>Aditya Rao</t>
  </si>
  <si>
    <t>A</t>
  </si>
  <si>
    <t>March</t>
  </si>
  <si>
    <t>Present</t>
  </si>
  <si>
    <t>N</t>
  </si>
  <si>
    <t>Bhavna Tiwari</t>
  </si>
  <si>
    <t>B</t>
  </si>
  <si>
    <t>Absent</t>
  </si>
  <si>
    <t>Chetan Joshi</t>
  </si>
  <si>
    <t>Y</t>
  </si>
  <si>
    <t>Eshan Pillai</t>
  </si>
  <si>
    <t>Late</t>
  </si>
  <si>
    <t>Fatima Khan</t>
  </si>
  <si>
    <t>Ganesh Yadav</t>
  </si>
  <si>
    <t>Harini Bose</t>
  </si>
  <si>
    <t>Imran Sheikh</t>
  </si>
  <si>
    <t>Jyoti Malhotra</t>
  </si>
  <si>
    <t>Kabir Singh</t>
  </si>
  <si>
    <t>Lavanya Menon</t>
  </si>
  <si>
    <t>Count</t>
  </si>
  <si>
    <t>Present &amp; Late Count</t>
  </si>
  <si>
    <t>Mobile Store — Daily Sales Record</t>
  </si>
  <si>
    <t>Date</t>
  </si>
  <si>
    <t>Salesperson</t>
  </si>
  <si>
    <t>Product Category</t>
  </si>
  <si>
    <t>Payment Mode</t>
  </si>
  <si>
    <t>Sale Amount (₹)</t>
  </si>
  <si>
    <t>01-Mar</t>
  </si>
  <si>
    <t>Naveen</t>
  </si>
  <si>
    <t>Mobile</t>
  </si>
  <si>
    <t>Card</t>
  </si>
  <si>
    <t>Geeta</t>
  </si>
  <si>
    <t>Accessory</t>
  </si>
  <si>
    <t>Cash</t>
  </si>
  <si>
    <t>02-Mar</t>
  </si>
  <si>
    <t>03-Mar</t>
  </si>
  <si>
    <t>04-Mar</t>
  </si>
  <si>
    <t>05-Mar</t>
  </si>
  <si>
    <t>06-Mar</t>
  </si>
  <si>
    <t>Category</t>
  </si>
  <si>
    <t>Average Sale (₹)</t>
  </si>
  <si>
    <t>Average Sale (₹) — Mobile only</t>
  </si>
  <si>
    <t>Inter-School Quiz Competition — Team Records</t>
  </si>
  <si>
    <t>Team Name</t>
  </si>
  <si>
    <t>City</t>
  </si>
  <si>
    <t>Round</t>
  </si>
  <si>
    <t>Score</t>
  </si>
  <si>
    <t>Eagles</t>
  </si>
  <si>
    <t>Delhi</t>
  </si>
  <si>
    <t>Prelims</t>
  </si>
  <si>
    <t>Falcons</t>
  </si>
  <si>
    <t>Mumbai</t>
  </si>
  <si>
    <t>Tigers</t>
  </si>
  <si>
    <t>Lions</t>
  </si>
  <si>
    <t>Chennai</t>
  </si>
  <si>
    <t>Finals</t>
  </si>
  <si>
    <t>Panthers</t>
  </si>
  <si>
    <t>Wolves</t>
  </si>
  <si>
    <t>Q1. Total points per house</t>
  </si>
  <si>
    <t>Q2. Total points scored by Boys in each house</t>
  </si>
  <si>
    <t>Q1. Number of students with each Status</t>
  </si>
  <si>
    <t>Q2. Number of students who were Present AND arrived Late (Y), per Section</t>
  </si>
  <si>
    <t>Q1. Average Sale Amount per Product Category</t>
  </si>
  <si>
    <t>Q2. Average Sale Amount for Mobile category, by Payment Mode</t>
  </si>
  <si>
    <t>No.</t>
  </si>
  <si>
    <t>Question</t>
  </si>
  <si>
    <t>What is the total score of all teams in the competition?</t>
  </si>
  <si>
    <t>What is the average score of all records?</t>
  </si>
  <si>
    <t>What is the highest score achieved in the table?</t>
  </si>
  <si>
    <t>What is the lowest score achieved in the table?</t>
  </si>
  <si>
    <t>How many team records are listed in total?</t>
  </si>
  <si>
    <r>
      <t xml:space="preserve">How many times does the </t>
    </r>
    <r>
      <rPr>
        <b/>
        <sz val="11"/>
        <color theme="1"/>
        <rFont val="Calibri"/>
        <family val="2"/>
        <scheme val="minor"/>
      </rPr>
      <t>Eagles</t>
    </r>
    <r>
      <rPr>
        <sz val="11"/>
        <color theme="1"/>
        <rFont val="Calibri"/>
        <family val="2"/>
        <scheme val="minor"/>
      </rPr>
      <t xml:space="preserve"> team appear in the table?</t>
    </r>
  </si>
  <si>
    <r>
      <t xml:space="preserve">How many records belong to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</si>
  <si>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How many records belong to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</si>
  <si>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How many teams are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>?</t>
    </r>
  </si>
  <si>
    <r>
      <t xml:space="preserve">What is the total score of all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>?</t>
    </r>
  </si>
  <si>
    <r>
      <t xml:space="preserve">What is the total score of all teams from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>?</t>
    </r>
  </si>
  <si>
    <r>
      <t xml:space="preserve">What is the total score of all teams from </t>
    </r>
    <r>
      <rPr>
        <b/>
        <sz val="11"/>
        <color theme="1"/>
        <rFont val="Calibri"/>
        <family val="2"/>
        <scheme val="minor"/>
      </rPr>
      <t>Chennai</t>
    </r>
    <r>
      <rPr>
        <sz val="11"/>
        <color theme="1"/>
        <rFont val="Calibri"/>
        <family val="2"/>
        <scheme val="minor"/>
      </rPr>
      <t>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</si>
  <si>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>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</si>
  <si>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>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</si>
  <si>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Chennai</t>
    </r>
    <r>
      <rPr>
        <sz val="11"/>
        <color theme="1"/>
        <rFont val="Calibri"/>
        <family val="2"/>
        <scheme val="minor"/>
      </rPr>
      <t>?</t>
    </r>
  </si>
  <si>
    <r>
      <t xml:space="preserve">What is the total score of the </t>
    </r>
    <r>
      <rPr>
        <b/>
        <sz val="11"/>
        <color theme="1"/>
        <rFont val="Calibri"/>
        <family val="2"/>
        <scheme val="minor"/>
      </rPr>
      <t>Eagles</t>
    </r>
    <r>
      <rPr>
        <sz val="11"/>
        <color theme="1"/>
        <rFont val="Calibri"/>
        <family val="2"/>
        <scheme val="minor"/>
      </rPr>
      <t xml:space="preserve"> team across all rounds?</t>
    </r>
  </si>
  <si>
    <r>
      <t xml:space="preserve">What is the total score of the </t>
    </r>
    <r>
      <rPr>
        <b/>
        <sz val="11"/>
        <color theme="1"/>
        <rFont val="Calibri"/>
        <family val="2"/>
        <scheme val="minor"/>
      </rPr>
      <t>Falcons</t>
    </r>
    <r>
      <rPr>
        <sz val="11"/>
        <color theme="1"/>
        <rFont val="Calibri"/>
        <family val="2"/>
        <scheme val="minor"/>
      </rPr>
      <t xml:space="preserve"> team across all rounds?</t>
    </r>
  </si>
  <si>
    <r>
      <t xml:space="preserve">What is the average score of the </t>
    </r>
    <r>
      <rPr>
        <b/>
        <sz val="11"/>
        <color theme="1"/>
        <rFont val="Calibri"/>
        <family val="2"/>
        <scheme val="minor"/>
      </rPr>
      <t>Lions</t>
    </r>
    <r>
      <rPr>
        <sz val="11"/>
        <color theme="1"/>
        <rFont val="Calibri"/>
        <family val="2"/>
        <scheme val="minor"/>
      </rPr>
      <t xml:space="preserve"> team?</t>
    </r>
  </si>
  <si>
    <r>
      <t xml:space="preserve">How many times did the </t>
    </r>
    <r>
      <rPr>
        <b/>
        <sz val="11"/>
        <color theme="1"/>
        <rFont val="Calibri"/>
        <family val="2"/>
        <scheme val="minor"/>
      </rPr>
      <t>Panthers</t>
    </r>
    <r>
      <rPr>
        <sz val="11"/>
        <color theme="1"/>
        <rFont val="Calibri"/>
        <family val="2"/>
        <scheme val="minor"/>
      </rPr>
      <t xml:space="preserve"> team participate?</t>
    </r>
  </si>
  <si>
    <r>
      <t xml:space="preserve">What is the total score of all teams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</si>
  <si>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total score of all teams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</si>
  <si>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</si>
  <si>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</si>
  <si>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How many records are for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</si>
  <si>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How many records are for teams from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</si>
  <si>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total score of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</si>
  <si>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total score of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</si>
  <si>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total score of teams from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</si>
  <si>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Chennai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</si>
  <si>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Mumbai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</si>
  <si>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How many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records have a score greater than or equal to </t>
    </r>
    <r>
      <rPr>
        <b/>
        <sz val="11"/>
        <color theme="1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>?</t>
    </r>
  </si>
  <si>
    <r>
      <t xml:space="preserve">How many teams from </t>
    </r>
    <r>
      <rPr>
        <b/>
        <sz val="11"/>
        <color theme="1"/>
        <rFont val="Calibri"/>
        <family val="2"/>
        <scheme val="minor"/>
      </rPr>
      <t>Chennai</t>
    </r>
    <r>
      <rPr>
        <sz val="11"/>
        <color theme="1"/>
        <rFont val="Calibri"/>
        <family val="2"/>
        <scheme val="minor"/>
      </rPr>
      <t xml:space="preserve"> participated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</si>
  <si>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total score of the </t>
    </r>
    <r>
      <rPr>
        <b/>
        <sz val="11"/>
        <color theme="1"/>
        <rFont val="Calibri"/>
        <family val="2"/>
        <scheme val="minor"/>
      </rPr>
      <t>Wolves</t>
    </r>
    <r>
      <rPr>
        <sz val="11"/>
        <color theme="1"/>
        <rFont val="Calibri"/>
        <family val="2"/>
        <scheme val="minor"/>
      </rPr>
      <t xml:space="preserve"> team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</si>
  <si>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of the </t>
    </r>
    <r>
      <rPr>
        <b/>
        <sz val="11"/>
        <color theme="1"/>
        <rFont val="Calibri"/>
        <family val="2"/>
        <scheme val="minor"/>
      </rPr>
      <t>Eagles</t>
    </r>
    <r>
      <rPr>
        <sz val="11"/>
        <color theme="1"/>
        <rFont val="Calibri"/>
        <family val="2"/>
        <scheme val="minor"/>
      </rPr>
      <t xml:space="preserve"> team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</si>
  <si>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of the </t>
    </r>
    <r>
      <rPr>
        <b/>
        <sz val="11"/>
        <color theme="1"/>
        <rFont val="Calibri"/>
        <family val="2"/>
        <scheme val="minor"/>
      </rPr>
      <t>Panthers</t>
    </r>
    <r>
      <rPr>
        <sz val="11"/>
        <color theme="1"/>
        <rFont val="Calibri"/>
        <family val="2"/>
        <scheme val="minor"/>
      </rPr>
      <t xml:space="preserve"> team across all rounds?</t>
    </r>
  </si>
  <si>
    <r>
      <t xml:space="preserve">What is the total score of the </t>
    </r>
    <r>
      <rPr>
        <b/>
        <sz val="11"/>
        <color theme="1"/>
        <rFont val="Calibri"/>
        <family val="2"/>
        <scheme val="minor"/>
      </rPr>
      <t>Falcons</t>
    </r>
    <r>
      <rPr>
        <sz val="11"/>
        <color theme="1"/>
        <rFont val="Calibri"/>
        <family val="2"/>
        <scheme val="minor"/>
      </rPr>
      <t xml:space="preserve"> team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</si>
  <si>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How many records are there for the </t>
    </r>
    <r>
      <rPr>
        <b/>
        <sz val="11"/>
        <color theme="1"/>
        <rFont val="Calibri"/>
        <family val="2"/>
        <scheme val="minor"/>
      </rPr>
      <t>Tigers</t>
    </r>
    <r>
      <rPr>
        <sz val="11"/>
        <color theme="1"/>
        <rFont val="Calibri"/>
        <family val="2"/>
        <scheme val="minor"/>
      </rPr>
      <t xml:space="preserve"> team?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</si>
  <si>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Prelims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</si>
  <si>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average score of teams from </t>
    </r>
    <r>
      <rPr>
        <b/>
        <sz val="11"/>
        <color theme="1"/>
        <rFont val="Calibri"/>
        <family val="2"/>
        <scheme val="minor"/>
      </rPr>
      <t>Delhi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round?</t>
    </r>
  </si>
  <si>
    <r>
      <t xml:space="preserve">What is the combined score of all </t>
    </r>
    <r>
      <rPr>
        <b/>
        <sz val="11"/>
        <color theme="1"/>
        <rFont val="Calibri"/>
        <family val="2"/>
        <scheme val="minor"/>
      </rPr>
      <t>Finals</t>
    </r>
    <r>
      <rPr>
        <sz val="11"/>
        <color theme="1"/>
        <rFont val="Calibri"/>
        <family val="2"/>
        <scheme val="minor"/>
      </rPr>
      <t xml:space="preserve"> records for teams from </t>
    </r>
    <r>
      <rPr>
        <b/>
        <sz val="11"/>
        <color theme="1"/>
        <rFont val="Calibri"/>
        <family val="2"/>
        <scheme val="minor"/>
      </rPr>
      <t>Chennai</t>
    </r>
    <r>
      <rPr>
        <sz val="11"/>
        <color theme="1"/>
        <rFont val="Calibri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</si>
</sst>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2E4057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rgb="FF2E4057"/>
      <name val="Arial"/>
      <family val="2"/>
    </font>
    <font>
      <b/>
      <sz val="10"/>
      <color rgb="FF856404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rgb="FFE8F5E9"/>
      </patternFill>
    </fill>
    <fill>
      <patternFill patternType="solid">
        <fgColor rgb="FFFFF3CD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3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3" fontId="3" fillId="3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E405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E6EF42-89B1-4A31-AD87-F9C11DD5736D}" name="Table2" displayName="Table2" ref="A2:E14" totalsRowShown="0" headerRowDxfId="18" dataDxfId="19" headerRowBorderDxfId="26" tableBorderDxfId="27" totalsRowBorderDxfId="25">
  <autoFilter ref="A2:E14" xr:uid="{EAE6EF42-89B1-4A31-AD87-F9C11DD5736D}"/>
  <tableColumns count="5">
    <tableColumn id="1" xr3:uid="{ACA88D29-370A-44F9-9041-C0EB78CE9373}" name="Student Name" dataDxfId="24"/>
    <tableColumn id="2" xr3:uid="{C6984B3C-4BCC-4F07-AF5C-518F5B0C3A4F}" name="House" dataDxfId="23"/>
    <tableColumn id="3" xr3:uid="{88EF537B-84CB-4C0C-B6F0-EE703AA75C18}" name="Event" dataDxfId="22"/>
    <tableColumn id="4" xr3:uid="{76009DBA-FF14-475B-8CE7-1CDACBF43B31}" name="Gender" dataDxfId="21"/>
    <tableColumn id="5" xr3:uid="{592321BF-B833-45A9-B252-DEF98B4B7BE1}" name="Points Scored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DB85EE-DDC4-4373-831E-292D0CD67994}" name="Table3" displayName="Table3" ref="A3:E15" totalsRowShown="0" headerRowDxfId="8" dataDxfId="9" headerRowBorderDxfId="16" tableBorderDxfId="17" totalsRowBorderDxfId="15">
  <autoFilter ref="A3:E15" xr:uid="{EFDB85EE-DDC4-4373-831E-292D0CD67994}"/>
  <tableColumns count="5">
    <tableColumn id="1" xr3:uid="{3A161ADA-4F46-4DF9-973C-2EC185224C3A}" name="Student Name" dataDxfId="14"/>
    <tableColumn id="2" xr3:uid="{CE0375FA-9CFC-40F4-9AE9-87DED26F8143}" name="Section" dataDxfId="13"/>
    <tableColumn id="3" xr3:uid="{3CB890D2-7085-41D5-AA53-5CB1ED57AC5D}" name="Month" dataDxfId="12"/>
    <tableColumn id="4" xr3:uid="{4B662E7B-51FC-496C-A960-24AA75C8C898}" name="Status" dataDxfId="11"/>
    <tableColumn id="5" xr3:uid="{0B36C320-FB57-4C89-A3C6-1300092E1B37}" name="Late Arrival (Y/N)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2FB94-8E3C-4F15-A12A-01B30DC22DA6}" name="Table1" displayName="Table1" ref="A3:E15" totalsRowShown="0" headerRowDxfId="28" dataDxfId="29" headerRowBorderDxfId="36" tableBorderDxfId="37" totalsRowBorderDxfId="35">
  <autoFilter ref="A3:E15" xr:uid="{49C2FB94-8E3C-4F15-A12A-01B30DC22DA6}"/>
  <tableColumns count="5">
    <tableColumn id="1" xr3:uid="{359A6CEE-2796-484F-B2AF-8A8280C4ECE0}" name="Date" dataDxfId="34"/>
    <tableColumn id="2" xr3:uid="{F8E9C0F2-163B-4D06-A8ED-7561464E3A1B}" name="Salesperson" dataDxfId="33"/>
    <tableColumn id="3" xr3:uid="{905210F2-2560-4E15-ADCD-B3211D167D89}" name="Product Category" dataDxfId="32"/>
    <tableColumn id="4" xr3:uid="{9A472926-C03F-4ECF-80CD-A522049121F1}" name="Payment Mode" dataDxfId="31"/>
    <tableColumn id="5" xr3:uid="{D3F0F791-AE3F-4A9F-8587-8EFAF21A189B}" name="Sale Amount (₹)" dataDxfId="3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C9BE85-D9F3-4B8C-B388-F68587B1D4D2}" name="Table4" displayName="Table4" ref="A2:D14" totalsRowShown="0" headerRowDxfId="0" headerRowBorderDxfId="6" tableBorderDxfId="7" totalsRowBorderDxfId="5">
  <autoFilter ref="A2:D14" xr:uid="{D6C9BE85-D9F3-4B8C-B388-F68587B1D4D2}"/>
  <tableColumns count="4">
    <tableColumn id="1" xr3:uid="{F95121CF-FB81-435E-A12E-05AFA4308177}" name="Team Name" dataDxfId="4"/>
    <tableColumn id="2" xr3:uid="{C699EA21-1B4B-4DE8-8DBC-E9F9F63DDD02}" name="City" dataDxfId="3"/>
    <tableColumn id="3" xr3:uid="{D9F53D61-8FF1-4BE5-A954-EF1B0769FF20}" name="Round" dataDxfId="2"/>
    <tableColumn id="4" xr3:uid="{9A1713B3-0FC3-4DCF-AE93-AB301535179E}" name="Scor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G10" sqref="G10"/>
    </sheetView>
  </sheetViews>
  <sheetFormatPr defaultRowHeight="14.4" x14ac:dyDescent="0.3"/>
  <cols>
    <col min="1" max="1" width="16.6640625" customWidth="1"/>
    <col min="2" max="2" width="12" customWidth="1"/>
    <col min="3" max="3" width="14" customWidth="1"/>
    <col min="4" max="4" width="10.109375" customWidth="1"/>
    <col min="5" max="5" width="16.44140625" customWidth="1"/>
  </cols>
  <sheetData>
    <row r="1" spans="1:6" ht="16.8" x14ac:dyDescent="0.3">
      <c r="A1" s="10" t="s">
        <v>0</v>
      </c>
      <c r="B1" s="9"/>
      <c r="C1" s="9"/>
      <c r="D1" s="9"/>
      <c r="E1" s="9"/>
      <c r="F1" s="9"/>
    </row>
    <row r="2" spans="1:6" ht="27.6" x14ac:dyDescent="0.3">
      <c r="A2" s="18" t="s">
        <v>1</v>
      </c>
      <c r="B2" s="19" t="s">
        <v>2</v>
      </c>
      <c r="C2" s="19" t="s">
        <v>3</v>
      </c>
      <c r="D2" s="19" t="s">
        <v>4</v>
      </c>
      <c r="E2" s="20" t="s">
        <v>5</v>
      </c>
    </row>
    <row r="3" spans="1:6" x14ac:dyDescent="0.3">
      <c r="A3" s="14" t="s">
        <v>6</v>
      </c>
      <c r="B3" s="2" t="s">
        <v>7</v>
      </c>
      <c r="C3" s="2" t="s">
        <v>8</v>
      </c>
      <c r="D3" s="2" t="s">
        <v>9</v>
      </c>
      <c r="E3" s="24">
        <v>15</v>
      </c>
    </row>
    <row r="4" spans="1:6" x14ac:dyDescent="0.3">
      <c r="A4" s="15" t="s">
        <v>10</v>
      </c>
      <c r="B4" s="4" t="s">
        <v>11</v>
      </c>
      <c r="C4" s="4" t="s">
        <v>8</v>
      </c>
      <c r="D4" s="4" t="s">
        <v>12</v>
      </c>
      <c r="E4" s="25">
        <v>12</v>
      </c>
    </row>
    <row r="5" spans="1:6" x14ac:dyDescent="0.3">
      <c r="A5" s="14" t="s">
        <v>13</v>
      </c>
      <c r="B5" s="2" t="s">
        <v>7</v>
      </c>
      <c r="C5" s="2" t="s">
        <v>14</v>
      </c>
      <c r="D5" s="2" t="s">
        <v>9</v>
      </c>
      <c r="E5" s="24">
        <v>10</v>
      </c>
    </row>
    <row r="6" spans="1:6" x14ac:dyDescent="0.3">
      <c r="A6" s="15" t="s">
        <v>15</v>
      </c>
      <c r="B6" s="4" t="s">
        <v>16</v>
      </c>
      <c r="C6" s="4" t="s">
        <v>8</v>
      </c>
      <c r="D6" s="4" t="s">
        <v>12</v>
      </c>
      <c r="E6" s="25">
        <v>18</v>
      </c>
    </row>
    <row r="7" spans="1:6" x14ac:dyDescent="0.3">
      <c r="A7" s="14" t="s">
        <v>17</v>
      </c>
      <c r="B7" s="2" t="s">
        <v>11</v>
      </c>
      <c r="C7" s="2" t="s">
        <v>14</v>
      </c>
      <c r="D7" s="2" t="s">
        <v>9</v>
      </c>
      <c r="E7" s="24">
        <v>8</v>
      </c>
    </row>
    <row r="8" spans="1:6" x14ac:dyDescent="0.3">
      <c r="A8" s="15" t="s">
        <v>18</v>
      </c>
      <c r="B8" s="4" t="s">
        <v>7</v>
      </c>
      <c r="C8" s="4" t="s">
        <v>19</v>
      </c>
      <c r="D8" s="4" t="s">
        <v>12</v>
      </c>
      <c r="E8" s="25">
        <v>20</v>
      </c>
    </row>
    <row r="9" spans="1:6" x14ac:dyDescent="0.3">
      <c r="A9" s="14" t="s">
        <v>20</v>
      </c>
      <c r="B9" s="2" t="s">
        <v>16</v>
      </c>
      <c r="C9" s="2" t="s">
        <v>19</v>
      </c>
      <c r="D9" s="2" t="s">
        <v>9</v>
      </c>
      <c r="E9" s="24">
        <v>14</v>
      </c>
    </row>
    <row r="10" spans="1:6" x14ac:dyDescent="0.3">
      <c r="A10" s="15" t="s">
        <v>21</v>
      </c>
      <c r="B10" s="4" t="s">
        <v>11</v>
      </c>
      <c r="C10" s="4" t="s">
        <v>14</v>
      </c>
      <c r="D10" s="4" t="s">
        <v>12</v>
      </c>
      <c r="E10" s="25">
        <v>16</v>
      </c>
    </row>
    <row r="11" spans="1:6" x14ac:dyDescent="0.3">
      <c r="A11" s="14" t="s">
        <v>22</v>
      </c>
      <c r="B11" s="2" t="s">
        <v>7</v>
      </c>
      <c r="C11" s="2" t="s">
        <v>8</v>
      </c>
      <c r="D11" s="2" t="s">
        <v>9</v>
      </c>
      <c r="E11" s="24">
        <v>9</v>
      </c>
    </row>
    <row r="12" spans="1:6" x14ac:dyDescent="0.3">
      <c r="A12" s="15" t="s">
        <v>23</v>
      </c>
      <c r="B12" s="4" t="s">
        <v>16</v>
      </c>
      <c r="C12" s="4" t="s">
        <v>19</v>
      </c>
      <c r="D12" s="4" t="s">
        <v>12</v>
      </c>
      <c r="E12" s="25">
        <v>11</v>
      </c>
    </row>
    <row r="13" spans="1:6" x14ac:dyDescent="0.3">
      <c r="A13" s="14" t="s">
        <v>24</v>
      </c>
      <c r="B13" s="2" t="s">
        <v>11</v>
      </c>
      <c r="C13" s="2" t="s">
        <v>8</v>
      </c>
      <c r="D13" s="2" t="s">
        <v>9</v>
      </c>
      <c r="E13" s="24">
        <v>13</v>
      </c>
    </row>
    <row r="14" spans="1:6" x14ac:dyDescent="0.3">
      <c r="A14" s="21" t="s">
        <v>25</v>
      </c>
      <c r="B14" s="22" t="s">
        <v>16</v>
      </c>
      <c r="C14" s="22" t="s">
        <v>14</v>
      </c>
      <c r="D14" s="22" t="s">
        <v>12</v>
      </c>
      <c r="E14" s="26">
        <v>17</v>
      </c>
    </row>
    <row r="16" spans="1:6" x14ac:dyDescent="0.3">
      <c r="A16" s="8" t="s">
        <v>91</v>
      </c>
      <c r="B16" s="9"/>
      <c r="C16" s="9"/>
      <c r="D16" s="9"/>
      <c r="E16" s="9"/>
      <c r="F16" s="9"/>
    </row>
    <row r="17" spans="1:6" ht="27.6" x14ac:dyDescent="0.3">
      <c r="A17" s="1" t="s">
        <v>2</v>
      </c>
      <c r="B17" s="1" t="s">
        <v>26</v>
      </c>
    </row>
    <row r="18" spans="1:6" x14ac:dyDescent="0.3">
      <c r="A18" s="3" t="s">
        <v>7</v>
      </c>
      <c r="B18" s="5">
        <f>SUMIF(Table2[House],"Red",Table2[Points Scored])</f>
        <v>54</v>
      </c>
    </row>
    <row r="19" spans="1:6" x14ac:dyDescent="0.3">
      <c r="A19" s="3" t="s">
        <v>11</v>
      </c>
      <c r="B19" s="5">
        <f>SUMIF(Table2[House],A19,Table2[Points Scored])</f>
        <v>49</v>
      </c>
    </row>
    <row r="20" spans="1:6" x14ac:dyDescent="0.3">
      <c r="A20" s="3" t="s">
        <v>16</v>
      </c>
      <c r="B20" s="5">
        <f>SUMIF(Table2[House],A20,Table2[Points Scored])</f>
        <v>60</v>
      </c>
    </row>
    <row r="22" spans="1:6" x14ac:dyDescent="0.3">
      <c r="A22" s="8" t="s">
        <v>92</v>
      </c>
      <c r="B22" s="9"/>
      <c r="C22" s="9"/>
      <c r="D22" s="9"/>
      <c r="E22" s="9"/>
      <c r="F22" s="9"/>
    </row>
    <row r="23" spans="1:6" ht="55.2" x14ac:dyDescent="0.3">
      <c r="A23" s="1" t="s">
        <v>2</v>
      </c>
      <c r="B23" s="1" t="s">
        <v>27</v>
      </c>
    </row>
    <row r="24" spans="1:6" x14ac:dyDescent="0.3">
      <c r="A24" s="3" t="s">
        <v>7</v>
      </c>
      <c r="B24" s="5">
        <f>SUMIFS(Table2[Points Scored],Table2[Gender],"Boy",Table2[House],A24)</f>
        <v>34</v>
      </c>
    </row>
    <row r="25" spans="1:6" x14ac:dyDescent="0.3">
      <c r="A25" s="3" t="s">
        <v>11</v>
      </c>
      <c r="B25" s="5">
        <f>SUMIFS(Table2[Points Scored],Table2[Gender],"Boy",Table2[House],A25)</f>
        <v>21</v>
      </c>
    </row>
    <row r="26" spans="1:6" x14ac:dyDescent="0.3">
      <c r="A26" s="3" t="s">
        <v>16</v>
      </c>
      <c r="B26" s="5">
        <f>SUMIFS(Table2[Points Scored],Table2[Gender],"Boy",Table2[House],A26)</f>
        <v>14</v>
      </c>
    </row>
    <row r="29" spans="1:6" x14ac:dyDescent="0.3">
      <c r="A29" s="11"/>
      <c r="B29" s="12"/>
      <c r="C29" s="12"/>
      <c r="D29" s="12"/>
      <c r="E29" s="12"/>
      <c r="F29" s="13"/>
    </row>
  </sheetData>
  <mergeCells count="4">
    <mergeCell ref="A29:F29"/>
    <mergeCell ref="A1:F1"/>
    <mergeCell ref="A22:F22"/>
    <mergeCell ref="A16:F16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opLeftCell="A8" workbookViewId="0">
      <selection activeCell="G25" sqref="G25"/>
    </sheetView>
  </sheetViews>
  <sheetFormatPr defaultRowHeight="14.4" x14ac:dyDescent="0.3"/>
  <cols>
    <col min="1" max="1" width="16.6640625" customWidth="1"/>
    <col min="2" max="2" width="10.21875" customWidth="1"/>
    <col min="3" max="3" width="10" customWidth="1"/>
    <col min="4" max="4" width="12" customWidth="1"/>
    <col min="5" max="5" width="19.44140625" customWidth="1"/>
  </cols>
  <sheetData>
    <row r="1" spans="1:6" ht="28.05" customHeight="1" x14ac:dyDescent="0.3">
      <c r="A1" s="10" t="s">
        <v>28</v>
      </c>
      <c r="B1" s="9"/>
      <c r="C1" s="9"/>
      <c r="D1" s="9"/>
      <c r="E1" s="9"/>
      <c r="F1" s="9"/>
    </row>
    <row r="2" spans="1:6" ht="6" customHeight="1" x14ac:dyDescent="0.3"/>
    <row r="3" spans="1:6" ht="27.6" x14ac:dyDescent="0.3">
      <c r="A3" s="18" t="s">
        <v>1</v>
      </c>
      <c r="B3" s="19" t="s">
        <v>29</v>
      </c>
      <c r="C3" s="19" t="s">
        <v>30</v>
      </c>
      <c r="D3" s="19" t="s">
        <v>31</v>
      </c>
      <c r="E3" s="20" t="s">
        <v>32</v>
      </c>
    </row>
    <row r="4" spans="1:6" x14ac:dyDescent="0.3">
      <c r="A4" s="14" t="s">
        <v>33</v>
      </c>
      <c r="B4" s="2" t="s">
        <v>34</v>
      </c>
      <c r="C4" s="2" t="s">
        <v>35</v>
      </c>
      <c r="D4" s="2" t="s">
        <v>36</v>
      </c>
      <c r="E4" s="24" t="s">
        <v>37</v>
      </c>
    </row>
    <row r="5" spans="1:6" x14ac:dyDescent="0.3">
      <c r="A5" s="15" t="s">
        <v>38</v>
      </c>
      <c r="B5" s="4" t="s">
        <v>39</v>
      </c>
      <c r="C5" s="4" t="s">
        <v>35</v>
      </c>
      <c r="D5" s="4" t="s">
        <v>40</v>
      </c>
      <c r="E5" s="25" t="s">
        <v>37</v>
      </c>
    </row>
    <row r="6" spans="1:6" x14ac:dyDescent="0.3">
      <c r="A6" s="14" t="s">
        <v>41</v>
      </c>
      <c r="B6" s="2" t="s">
        <v>34</v>
      </c>
      <c r="C6" s="2" t="s">
        <v>35</v>
      </c>
      <c r="D6" s="2" t="s">
        <v>36</v>
      </c>
      <c r="E6" s="24" t="s">
        <v>42</v>
      </c>
    </row>
    <row r="7" spans="1:6" x14ac:dyDescent="0.3">
      <c r="A7" s="15" t="s">
        <v>23</v>
      </c>
      <c r="B7" s="4" t="s">
        <v>34</v>
      </c>
      <c r="C7" s="4" t="s">
        <v>35</v>
      </c>
      <c r="D7" s="4" t="s">
        <v>36</v>
      </c>
      <c r="E7" s="25" t="s">
        <v>37</v>
      </c>
    </row>
    <row r="8" spans="1:6" x14ac:dyDescent="0.3">
      <c r="A8" s="14" t="s">
        <v>43</v>
      </c>
      <c r="B8" s="2" t="s">
        <v>39</v>
      </c>
      <c r="C8" s="2" t="s">
        <v>35</v>
      </c>
      <c r="D8" s="2" t="s">
        <v>44</v>
      </c>
      <c r="E8" s="24" t="s">
        <v>42</v>
      </c>
    </row>
    <row r="9" spans="1:6" x14ac:dyDescent="0.3">
      <c r="A9" s="15" t="s">
        <v>45</v>
      </c>
      <c r="B9" s="4" t="s">
        <v>39</v>
      </c>
      <c r="C9" s="4" t="s">
        <v>35</v>
      </c>
      <c r="D9" s="4" t="s">
        <v>36</v>
      </c>
      <c r="E9" s="25" t="s">
        <v>37</v>
      </c>
    </row>
    <row r="10" spans="1:6" x14ac:dyDescent="0.3">
      <c r="A10" s="14" t="s">
        <v>46</v>
      </c>
      <c r="B10" s="2" t="s">
        <v>34</v>
      </c>
      <c r="C10" s="2" t="s">
        <v>35</v>
      </c>
      <c r="D10" s="2" t="s">
        <v>40</v>
      </c>
      <c r="E10" s="24" t="s">
        <v>37</v>
      </c>
    </row>
    <row r="11" spans="1:6" x14ac:dyDescent="0.3">
      <c r="A11" s="15" t="s">
        <v>47</v>
      </c>
      <c r="B11" s="4" t="s">
        <v>39</v>
      </c>
      <c r="C11" s="4" t="s">
        <v>35</v>
      </c>
      <c r="D11" s="4" t="s">
        <v>36</v>
      </c>
      <c r="E11" s="25" t="s">
        <v>42</v>
      </c>
    </row>
    <row r="12" spans="1:6" x14ac:dyDescent="0.3">
      <c r="A12" s="14" t="s">
        <v>48</v>
      </c>
      <c r="B12" s="2" t="s">
        <v>34</v>
      </c>
      <c r="C12" s="2" t="s">
        <v>35</v>
      </c>
      <c r="D12" s="2" t="s">
        <v>36</v>
      </c>
      <c r="E12" s="24" t="s">
        <v>37</v>
      </c>
    </row>
    <row r="13" spans="1:6" x14ac:dyDescent="0.3">
      <c r="A13" s="15" t="s">
        <v>49</v>
      </c>
      <c r="B13" s="4" t="s">
        <v>39</v>
      </c>
      <c r="C13" s="4" t="s">
        <v>35</v>
      </c>
      <c r="D13" s="4" t="s">
        <v>44</v>
      </c>
      <c r="E13" s="25" t="s">
        <v>42</v>
      </c>
    </row>
    <row r="14" spans="1:6" x14ac:dyDescent="0.3">
      <c r="A14" s="14" t="s">
        <v>50</v>
      </c>
      <c r="B14" s="2" t="s">
        <v>34</v>
      </c>
      <c r="C14" s="2" t="s">
        <v>35</v>
      </c>
      <c r="D14" s="2" t="s">
        <v>40</v>
      </c>
      <c r="E14" s="24" t="s">
        <v>37</v>
      </c>
    </row>
    <row r="15" spans="1:6" x14ac:dyDescent="0.3">
      <c r="A15" s="21" t="s">
        <v>51</v>
      </c>
      <c r="B15" s="22" t="s">
        <v>39</v>
      </c>
      <c r="C15" s="22" t="s">
        <v>35</v>
      </c>
      <c r="D15" s="22" t="s">
        <v>36</v>
      </c>
      <c r="E15" s="26" t="s">
        <v>37</v>
      </c>
    </row>
    <row r="16" spans="1:6" ht="7.95" customHeight="1" x14ac:dyDescent="0.3"/>
    <row r="17" spans="1:6" ht="22.05" customHeight="1" x14ac:dyDescent="0.3">
      <c r="A17" s="8" t="s">
        <v>93</v>
      </c>
      <c r="B17" s="9"/>
      <c r="C17" s="9"/>
      <c r="D17" s="9"/>
      <c r="E17" s="9"/>
      <c r="F17" s="9"/>
    </row>
    <row r="18" spans="1:6" x14ac:dyDescent="0.3">
      <c r="A18" s="1" t="s">
        <v>31</v>
      </c>
      <c r="B18" s="1" t="s">
        <v>52</v>
      </c>
    </row>
    <row r="19" spans="1:6" x14ac:dyDescent="0.3">
      <c r="A19" s="3" t="s">
        <v>36</v>
      </c>
      <c r="B19" s="5">
        <f>COUNTIF(Table3[Status],A19)</f>
        <v>7</v>
      </c>
    </row>
    <row r="20" spans="1:6" x14ac:dyDescent="0.3">
      <c r="A20" s="3" t="s">
        <v>40</v>
      </c>
      <c r="B20" s="5">
        <f>COUNTIF(Table3[Status],A20)</f>
        <v>3</v>
      </c>
    </row>
    <row r="21" spans="1:6" x14ac:dyDescent="0.3">
      <c r="A21" s="3" t="s">
        <v>44</v>
      </c>
      <c r="B21" s="5">
        <f>COUNTIF(Table3[Status],A21)</f>
        <v>2</v>
      </c>
    </row>
    <row r="23" spans="1:6" ht="22.05" customHeight="1" x14ac:dyDescent="0.3">
      <c r="A23" s="8" t="s">
        <v>94</v>
      </c>
      <c r="B23" s="9"/>
      <c r="C23" s="9"/>
      <c r="D23" s="9"/>
      <c r="E23" s="9"/>
      <c r="F23" s="9"/>
    </row>
    <row r="24" spans="1:6" ht="41.4" x14ac:dyDescent="0.3">
      <c r="A24" s="1" t="s">
        <v>29</v>
      </c>
      <c r="B24" s="1" t="s">
        <v>53</v>
      </c>
    </row>
    <row r="25" spans="1:6" x14ac:dyDescent="0.3">
      <c r="A25" s="3" t="s">
        <v>34</v>
      </c>
      <c r="B25" s="5">
        <f>COUNTIFS(Table3[Section],A25,Table3[Status],"Present",Table3[Late Arrival (Y/N)],"Y")</f>
        <v>1</v>
      </c>
    </row>
    <row r="26" spans="1:6" x14ac:dyDescent="0.3">
      <c r="A26" s="3" t="s">
        <v>39</v>
      </c>
      <c r="B26" s="5">
        <f>COUNTIFS(Table3[Section],A26,Table3[Status],"Present",Table3[Late Arrival (Y/N)],"Y")</f>
        <v>1</v>
      </c>
    </row>
    <row r="28" spans="1:6" ht="7.95" customHeight="1" x14ac:dyDescent="0.3"/>
    <row r="29" spans="1:6" ht="36" customHeight="1" x14ac:dyDescent="0.3">
      <c r="A29" s="11"/>
      <c r="B29" s="12"/>
      <c r="C29" s="12"/>
      <c r="D29" s="12"/>
      <c r="E29" s="12"/>
      <c r="F29" s="13"/>
    </row>
  </sheetData>
  <mergeCells count="4">
    <mergeCell ref="A29:F29"/>
    <mergeCell ref="A1:F1"/>
    <mergeCell ref="A23:F23"/>
    <mergeCell ref="A17:F17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zoomScale="77" workbookViewId="0">
      <selection activeCell="B26" sqref="B26"/>
    </sheetView>
  </sheetViews>
  <sheetFormatPr defaultRowHeight="14.4" x14ac:dyDescent="0.3"/>
  <cols>
    <col min="1" max="1" width="12" customWidth="1"/>
    <col min="2" max="2" width="16" customWidth="1"/>
    <col min="3" max="3" width="19.88671875" customWidth="1"/>
    <col min="4" max="4" width="17.44140625" customWidth="1"/>
    <col min="5" max="5" width="18.33203125" customWidth="1"/>
  </cols>
  <sheetData>
    <row r="1" spans="1:6" ht="28.05" customHeight="1" x14ac:dyDescent="0.3">
      <c r="A1" s="10" t="s">
        <v>54</v>
      </c>
      <c r="B1" s="9"/>
      <c r="C1" s="9"/>
      <c r="D1" s="9"/>
      <c r="E1" s="9"/>
      <c r="F1" s="9"/>
    </row>
    <row r="2" spans="1:6" ht="6" customHeight="1" x14ac:dyDescent="0.3"/>
    <row r="3" spans="1:6" ht="27.6" x14ac:dyDescent="0.3">
      <c r="A3" s="18" t="s">
        <v>55</v>
      </c>
      <c r="B3" s="19" t="s">
        <v>56</v>
      </c>
      <c r="C3" s="19" t="s">
        <v>57</v>
      </c>
      <c r="D3" s="19" t="s">
        <v>58</v>
      </c>
      <c r="E3" s="20" t="s">
        <v>59</v>
      </c>
    </row>
    <row r="4" spans="1:6" x14ac:dyDescent="0.3">
      <c r="A4" s="14" t="s">
        <v>60</v>
      </c>
      <c r="B4" s="2" t="s">
        <v>61</v>
      </c>
      <c r="C4" s="2" t="s">
        <v>62</v>
      </c>
      <c r="D4" s="2" t="s">
        <v>63</v>
      </c>
      <c r="E4" s="16">
        <v>18000</v>
      </c>
    </row>
    <row r="5" spans="1:6" x14ac:dyDescent="0.3">
      <c r="A5" s="15" t="s">
        <v>60</v>
      </c>
      <c r="B5" s="4" t="s">
        <v>64</v>
      </c>
      <c r="C5" s="4" t="s">
        <v>65</v>
      </c>
      <c r="D5" s="4" t="s">
        <v>66</v>
      </c>
      <c r="E5" s="17">
        <v>1200</v>
      </c>
    </row>
    <row r="6" spans="1:6" x14ac:dyDescent="0.3">
      <c r="A6" s="14" t="s">
        <v>67</v>
      </c>
      <c r="B6" s="2" t="s">
        <v>61</v>
      </c>
      <c r="C6" s="2" t="s">
        <v>62</v>
      </c>
      <c r="D6" s="2" t="s">
        <v>66</v>
      </c>
      <c r="E6" s="16">
        <v>22000</v>
      </c>
    </row>
    <row r="7" spans="1:6" x14ac:dyDescent="0.3">
      <c r="A7" s="15" t="s">
        <v>67</v>
      </c>
      <c r="B7" s="4" t="s">
        <v>64</v>
      </c>
      <c r="C7" s="4" t="s">
        <v>62</v>
      </c>
      <c r="D7" s="4" t="s">
        <v>63</v>
      </c>
      <c r="E7" s="17">
        <v>15500</v>
      </c>
    </row>
    <row r="8" spans="1:6" x14ac:dyDescent="0.3">
      <c r="A8" s="14" t="s">
        <v>68</v>
      </c>
      <c r="B8" s="2" t="s">
        <v>61</v>
      </c>
      <c r="C8" s="2" t="s">
        <v>65</v>
      </c>
      <c r="D8" s="2" t="s">
        <v>63</v>
      </c>
      <c r="E8" s="16">
        <v>900</v>
      </c>
    </row>
    <row r="9" spans="1:6" x14ac:dyDescent="0.3">
      <c r="A9" s="15" t="s">
        <v>68</v>
      </c>
      <c r="B9" s="4" t="s">
        <v>64</v>
      </c>
      <c r="C9" s="4" t="s">
        <v>62</v>
      </c>
      <c r="D9" s="4" t="s">
        <v>66</v>
      </c>
      <c r="E9" s="17">
        <v>19500</v>
      </c>
    </row>
    <row r="10" spans="1:6" x14ac:dyDescent="0.3">
      <c r="A10" s="14" t="s">
        <v>69</v>
      </c>
      <c r="B10" s="2" t="s">
        <v>61</v>
      </c>
      <c r="C10" s="2" t="s">
        <v>65</v>
      </c>
      <c r="D10" s="2" t="s">
        <v>66</v>
      </c>
      <c r="E10" s="16">
        <v>1500</v>
      </c>
    </row>
    <row r="11" spans="1:6" x14ac:dyDescent="0.3">
      <c r="A11" s="15" t="s">
        <v>69</v>
      </c>
      <c r="B11" s="4" t="s">
        <v>64</v>
      </c>
      <c r="C11" s="4" t="s">
        <v>62</v>
      </c>
      <c r="D11" s="4" t="s">
        <v>63</v>
      </c>
      <c r="E11" s="17">
        <v>24000</v>
      </c>
    </row>
    <row r="12" spans="1:6" x14ac:dyDescent="0.3">
      <c r="A12" s="14" t="s">
        <v>70</v>
      </c>
      <c r="B12" s="2" t="s">
        <v>61</v>
      </c>
      <c r="C12" s="2" t="s">
        <v>62</v>
      </c>
      <c r="D12" s="2" t="s">
        <v>63</v>
      </c>
      <c r="E12" s="16">
        <v>17500</v>
      </c>
    </row>
    <row r="13" spans="1:6" x14ac:dyDescent="0.3">
      <c r="A13" s="15" t="s">
        <v>70</v>
      </c>
      <c r="B13" s="4" t="s">
        <v>64</v>
      </c>
      <c r="C13" s="4" t="s">
        <v>65</v>
      </c>
      <c r="D13" s="4" t="s">
        <v>63</v>
      </c>
      <c r="E13" s="17">
        <v>1100</v>
      </c>
    </row>
    <row r="14" spans="1:6" x14ac:dyDescent="0.3">
      <c r="A14" s="14" t="s">
        <v>71</v>
      </c>
      <c r="B14" s="2" t="s">
        <v>61</v>
      </c>
      <c r="C14" s="2" t="s">
        <v>62</v>
      </c>
      <c r="D14" s="2" t="s">
        <v>66</v>
      </c>
      <c r="E14" s="16">
        <v>21000</v>
      </c>
    </row>
    <row r="15" spans="1:6" x14ac:dyDescent="0.3">
      <c r="A15" s="21" t="s">
        <v>71</v>
      </c>
      <c r="B15" s="22" t="s">
        <v>64</v>
      </c>
      <c r="C15" s="22" t="s">
        <v>62</v>
      </c>
      <c r="D15" s="22" t="s">
        <v>66</v>
      </c>
      <c r="E15" s="23">
        <v>16000</v>
      </c>
    </row>
    <row r="16" spans="1:6" ht="7.95" customHeight="1" x14ac:dyDescent="0.3"/>
    <row r="17" spans="1:6" ht="22.05" customHeight="1" x14ac:dyDescent="0.3">
      <c r="A17" s="8" t="s">
        <v>95</v>
      </c>
      <c r="B17" s="9"/>
      <c r="C17" s="9"/>
      <c r="D17" s="9"/>
      <c r="E17" s="9"/>
      <c r="F17" s="9"/>
    </row>
    <row r="18" spans="1:6" ht="27.6" x14ac:dyDescent="0.3">
      <c r="A18" s="1" t="s">
        <v>72</v>
      </c>
      <c r="B18" s="1" t="s">
        <v>73</v>
      </c>
    </row>
    <row r="19" spans="1:6" x14ac:dyDescent="0.3">
      <c r="A19" s="3" t="s">
        <v>62</v>
      </c>
      <c r="B19" s="5">
        <f>AVERAGEIF(Table1[Product Category],"Mobile",Table1[Sale Amount (₹)])</f>
        <v>19187.5</v>
      </c>
    </row>
    <row r="20" spans="1:6" x14ac:dyDescent="0.3">
      <c r="A20" s="3" t="s">
        <v>65</v>
      </c>
      <c r="B20" s="5">
        <f>AVERAGEIF(Table1[Product Category],A20,Table1[Sale Amount (₹)])</f>
        <v>1175</v>
      </c>
    </row>
    <row r="22" spans="1:6" ht="22.05" customHeight="1" x14ac:dyDescent="0.3">
      <c r="A22" s="8" t="s">
        <v>96</v>
      </c>
      <c r="B22" s="9"/>
      <c r="C22" s="9"/>
      <c r="D22" s="9"/>
      <c r="E22" s="9"/>
      <c r="F22" s="9"/>
    </row>
    <row r="23" spans="1:6" ht="41.4" x14ac:dyDescent="0.3">
      <c r="A23" s="1" t="s">
        <v>58</v>
      </c>
      <c r="B23" s="1" t="s">
        <v>74</v>
      </c>
    </row>
    <row r="24" spans="1:6" x14ac:dyDescent="0.3">
      <c r="A24" s="3" t="s">
        <v>63</v>
      </c>
      <c r="B24" s="5">
        <f>AVERAGEIFS(Table1[Sale Amount (₹)],Table1[Payment Mode],"Card",Table1[Product Category],"Mobile")</f>
        <v>18750</v>
      </c>
    </row>
    <row r="25" spans="1:6" x14ac:dyDescent="0.3">
      <c r="A25" s="3" t="s">
        <v>66</v>
      </c>
      <c r="B25" s="5">
        <f>AVERAGEIFS(Table1[Sale Amount (₹)],Table1[Product Category],"Mobile",Table1[Payment Mode],"Cash")</f>
        <v>19625</v>
      </c>
    </row>
    <row r="27" spans="1:6" ht="7.95" customHeight="1" x14ac:dyDescent="0.3"/>
    <row r="28" spans="1:6" ht="36" customHeight="1" x14ac:dyDescent="0.3">
      <c r="A28" s="11"/>
      <c r="B28" s="12"/>
      <c r="C28" s="12"/>
      <c r="D28" s="12"/>
      <c r="E28" s="12"/>
      <c r="F28" s="13"/>
    </row>
  </sheetData>
  <mergeCells count="4">
    <mergeCell ref="A22:F22"/>
    <mergeCell ref="A1:F1"/>
    <mergeCell ref="A28:F28"/>
    <mergeCell ref="A17:F17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>
      <selection activeCell="I44" sqref="I44"/>
    </sheetView>
  </sheetViews>
  <sheetFormatPr defaultRowHeight="30" customHeight="1" x14ac:dyDescent="0.3"/>
  <cols>
    <col min="1" max="1" width="16" customWidth="1"/>
    <col min="2" max="2" width="14" customWidth="1"/>
    <col min="3" max="3" width="12" customWidth="1"/>
    <col min="4" max="4" width="10" customWidth="1"/>
    <col min="8" max="8" width="48.5546875" customWidth="1"/>
  </cols>
  <sheetData>
    <row r="1" spans="1:9" ht="30" customHeight="1" x14ac:dyDescent="0.3">
      <c r="A1" s="10" t="s">
        <v>75</v>
      </c>
      <c r="B1" s="9"/>
      <c r="C1" s="9"/>
      <c r="D1" s="9"/>
      <c r="E1" s="9"/>
      <c r="F1" s="9"/>
    </row>
    <row r="2" spans="1:9" ht="30" customHeight="1" x14ac:dyDescent="0.3">
      <c r="A2" s="18" t="s">
        <v>76</v>
      </c>
      <c r="B2" s="19" t="s">
        <v>77</v>
      </c>
      <c r="C2" s="19" t="s">
        <v>78</v>
      </c>
      <c r="D2" s="20" t="s">
        <v>79</v>
      </c>
    </row>
    <row r="3" spans="1:9" ht="30" customHeight="1" x14ac:dyDescent="0.3">
      <c r="A3" s="14" t="s">
        <v>80</v>
      </c>
      <c r="B3" s="2" t="s">
        <v>81</v>
      </c>
      <c r="C3" s="2" t="s">
        <v>82</v>
      </c>
      <c r="D3" s="24">
        <v>45</v>
      </c>
      <c r="G3" s="6" t="s">
        <v>97</v>
      </c>
      <c r="H3" s="6" t="s">
        <v>98</v>
      </c>
    </row>
    <row r="4" spans="1:9" ht="30" customHeight="1" x14ac:dyDescent="0.3">
      <c r="A4" s="15" t="s">
        <v>83</v>
      </c>
      <c r="B4" s="4" t="s">
        <v>84</v>
      </c>
      <c r="C4" s="4" t="s">
        <v>82</v>
      </c>
      <c r="D4" s="25">
        <v>38</v>
      </c>
      <c r="G4" s="7">
        <v>1</v>
      </c>
      <c r="H4" s="7" t="s">
        <v>99</v>
      </c>
      <c r="I4">
        <f>SUM(Table4[Score])</f>
        <v>582</v>
      </c>
    </row>
    <row r="5" spans="1:9" ht="30" customHeight="1" x14ac:dyDescent="0.3">
      <c r="A5" s="14" t="s">
        <v>85</v>
      </c>
      <c r="B5" s="2" t="s">
        <v>81</v>
      </c>
      <c r="C5" s="2" t="s">
        <v>82</v>
      </c>
      <c r="D5" s="24">
        <v>52</v>
      </c>
      <c r="G5" s="7">
        <v>2</v>
      </c>
      <c r="H5" s="7" t="s">
        <v>100</v>
      </c>
      <c r="I5">
        <f>AVERAGE(Table4[Score])</f>
        <v>48.5</v>
      </c>
    </row>
    <row r="6" spans="1:9" ht="30" customHeight="1" x14ac:dyDescent="0.3">
      <c r="A6" s="15" t="s">
        <v>86</v>
      </c>
      <c r="B6" s="4" t="s">
        <v>87</v>
      </c>
      <c r="C6" s="4" t="s">
        <v>82</v>
      </c>
      <c r="D6" s="25">
        <v>41</v>
      </c>
      <c r="G6" s="7">
        <v>3</v>
      </c>
      <c r="H6" s="7" t="s">
        <v>101</v>
      </c>
      <c r="I6">
        <f>MAX(Table4[Score])</f>
        <v>60</v>
      </c>
    </row>
    <row r="7" spans="1:9" ht="30" customHeight="1" x14ac:dyDescent="0.3">
      <c r="A7" s="14" t="s">
        <v>80</v>
      </c>
      <c r="B7" s="2" t="s">
        <v>81</v>
      </c>
      <c r="C7" s="2" t="s">
        <v>88</v>
      </c>
      <c r="D7" s="24">
        <v>60</v>
      </c>
      <c r="G7" s="7">
        <v>4</v>
      </c>
      <c r="H7" s="7" t="s">
        <v>102</v>
      </c>
      <c r="I7">
        <f>MIN(Table4[Score])</f>
        <v>35</v>
      </c>
    </row>
    <row r="8" spans="1:9" ht="30" customHeight="1" x14ac:dyDescent="0.3">
      <c r="A8" s="15" t="s">
        <v>83</v>
      </c>
      <c r="B8" s="4" t="s">
        <v>84</v>
      </c>
      <c r="C8" s="4" t="s">
        <v>88</v>
      </c>
      <c r="D8" s="25">
        <v>55</v>
      </c>
      <c r="G8" s="7">
        <v>5</v>
      </c>
      <c r="H8" s="7" t="s">
        <v>103</v>
      </c>
      <c r="I8">
        <f>COUNTA(Table4[Team Name])</f>
        <v>12</v>
      </c>
    </row>
    <row r="9" spans="1:9" ht="30" customHeight="1" x14ac:dyDescent="0.3">
      <c r="A9" s="14" t="s">
        <v>85</v>
      </c>
      <c r="B9" s="2" t="s">
        <v>81</v>
      </c>
      <c r="C9" s="2" t="s">
        <v>88</v>
      </c>
      <c r="D9" s="24">
        <v>48</v>
      </c>
      <c r="G9" s="7">
        <v>6</v>
      </c>
      <c r="H9" s="7" t="s">
        <v>104</v>
      </c>
      <c r="I9">
        <f>COUNTIF(Table4[Team Name],"Eagles")</f>
        <v>2</v>
      </c>
    </row>
    <row r="10" spans="1:9" ht="30" customHeight="1" x14ac:dyDescent="0.3">
      <c r="A10" s="15" t="s">
        <v>86</v>
      </c>
      <c r="B10" s="4" t="s">
        <v>87</v>
      </c>
      <c r="C10" s="4" t="s">
        <v>88</v>
      </c>
      <c r="D10" s="25">
        <v>58</v>
      </c>
      <c r="G10" s="7">
        <v>7</v>
      </c>
      <c r="H10" s="7" t="s">
        <v>105</v>
      </c>
      <c r="I10">
        <f>COUNTIF(Table4[Round],"Prelims")</f>
        <v>6</v>
      </c>
    </row>
    <row r="11" spans="1:9" ht="30" customHeight="1" x14ac:dyDescent="0.3">
      <c r="A11" s="14" t="s">
        <v>89</v>
      </c>
      <c r="B11" s="2" t="s">
        <v>84</v>
      </c>
      <c r="C11" s="2" t="s">
        <v>82</v>
      </c>
      <c r="D11" s="24">
        <v>35</v>
      </c>
      <c r="G11" s="7">
        <v>8</v>
      </c>
      <c r="H11" s="7" t="s">
        <v>106</v>
      </c>
      <c r="I11">
        <f>COUNTIF(Table4[Round],"Finals")</f>
        <v>6</v>
      </c>
    </row>
    <row r="12" spans="1:9" ht="30" customHeight="1" x14ac:dyDescent="0.3">
      <c r="A12" s="15" t="s">
        <v>89</v>
      </c>
      <c r="B12" s="4" t="s">
        <v>84</v>
      </c>
      <c r="C12" s="4" t="s">
        <v>88</v>
      </c>
      <c r="D12" s="25">
        <v>50</v>
      </c>
      <c r="G12" s="7">
        <v>9</v>
      </c>
      <c r="H12" s="7" t="s">
        <v>107</v>
      </c>
      <c r="I12">
        <f>COUNTIF(Table4[City],"Delhi")</f>
        <v>4</v>
      </c>
    </row>
    <row r="13" spans="1:9" ht="30" customHeight="1" x14ac:dyDescent="0.3">
      <c r="A13" s="14" t="s">
        <v>90</v>
      </c>
      <c r="B13" s="2" t="s">
        <v>87</v>
      </c>
      <c r="C13" s="2" t="s">
        <v>82</v>
      </c>
      <c r="D13" s="24">
        <v>47</v>
      </c>
      <c r="G13" s="7">
        <v>10</v>
      </c>
      <c r="H13" s="7" t="s">
        <v>108</v>
      </c>
      <c r="I13">
        <f>SUMIFS(Table4[Score],Table4[City],"Delhi")</f>
        <v>205</v>
      </c>
    </row>
    <row r="14" spans="1:9" ht="30" customHeight="1" x14ac:dyDescent="0.3">
      <c r="A14" s="21" t="s">
        <v>90</v>
      </c>
      <c r="B14" s="22" t="s">
        <v>87</v>
      </c>
      <c r="C14" s="22" t="s">
        <v>88</v>
      </c>
      <c r="D14" s="26">
        <v>53</v>
      </c>
      <c r="G14" s="7">
        <v>11</v>
      </c>
      <c r="H14" s="7" t="s">
        <v>109</v>
      </c>
      <c r="I14">
        <f>SUMIFS(Table4[Score],Table4[City],"Mumbai")</f>
        <v>178</v>
      </c>
    </row>
    <row r="15" spans="1:9" ht="30" customHeight="1" x14ac:dyDescent="0.3">
      <c r="G15" s="7">
        <v>12</v>
      </c>
      <c r="H15" s="7" t="s">
        <v>110</v>
      </c>
      <c r="I15">
        <f>SUMIFS(Table4[Score],Table4[City],"Chennai")</f>
        <v>199</v>
      </c>
    </row>
    <row r="16" spans="1:9" ht="30" customHeight="1" x14ac:dyDescent="0.3">
      <c r="A16" s="11"/>
      <c r="B16" s="12"/>
      <c r="C16" s="12"/>
      <c r="D16" s="12"/>
      <c r="E16" s="12"/>
      <c r="F16" s="13"/>
      <c r="G16" s="7">
        <v>13</v>
      </c>
      <c r="H16" s="7" t="s">
        <v>111</v>
      </c>
      <c r="I16">
        <f>AVERAGEIFS(Table4[Score],Table4[City],"Delhi")</f>
        <v>51.25</v>
      </c>
    </row>
    <row r="17" spans="7:9" ht="30" customHeight="1" x14ac:dyDescent="0.3">
      <c r="G17" s="7">
        <v>14</v>
      </c>
      <c r="H17" s="7" t="s">
        <v>112</v>
      </c>
      <c r="I17">
        <f>AVERAGEIFS(Table4[Score],Table4[City],"Mumbai")</f>
        <v>44.5</v>
      </c>
    </row>
    <row r="18" spans="7:9" ht="30" customHeight="1" x14ac:dyDescent="0.3">
      <c r="G18" s="7">
        <v>15</v>
      </c>
      <c r="H18" s="7" t="s">
        <v>113</v>
      </c>
      <c r="I18">
        <f>AVERAGEIFS(Table4[Score],Table4[City],"Chennai")</f>
        <v>49.75</v>
      </c>
    </row>
    <row r="19" spans="7:9" ht="30" customHeight="1" x14ac:dyDescent="0.3">
      <c r="G19" s="7">
        <v>16</v>
      </c>
      <c r="H19" s="7" t="s">
        <v>114</v>
      </c>
      <c r="I19">
        <f>SUMIFS(Table4[Score],Table4[Team Name],"Eagles")</f>
        <v>105</v>
      </c>
    </row>
    <row r="20" spans="7:9" ht="30" customHeight="1" x14ac:dyDescent="0.3">
      <c r="G20" s="7">
        <v>17</v>
      </c>
      <c r="H20" s="7" t="s">
        <v>115</v>
      </c>
      <c r="I20">
        <f>SUMIFS(Table4[Score],Table4[Team Name],"Falcons")</f>
        <v>93</v>
      </c>
    </row>
    <row r="21" spans="7:9" ht="30" customHeight="1" x14ac:dyDescent="0.3">
      <c r="G21" s="7">
        <v>18</v>
      </c>
      <c r="H21" s="7" t="s">
        <v>116</v>
      </c>
      <c r="I21">
        <f>AVERAGEIFS(Table4[Score],Table4[Team Name],"Lions")</f>
        <v>49.5</v>
      </c>
    </row>
    <row r="22" spans="7:9" ht="30" customHeight="1" x14ac:dyDescent="0.3">
      <c r="G22" s="7">
        <v>19</v>
      </c>
      <c r="H22" s="7" t="s">
        <v>117</v>
      </c>
      <c r="I22">
        <f>COUNTIF(Table4[Team Name],"Panthers")</f>
        <v>2</v>
      </c>
    </row>
    <row r="23" spans="7:9" ht="30" customHeight="1" x14ac:dyDescent="0.3">
      <c r="G23" s="7">
        <v>20</v>
      </c>
      <c r="H23" s="7" t="s">
        <v>118</v>
      </c>
      <c r="I23">
        <f>SUMIFS(Table4[Score],Table4[Round],"Prelims")</f>
        <v>258</v>
      </c>
    </row>
    <row r="24" spans="7:9" ht="30" customHeight="1" x14ac:dyDescent="0.3">
      <c r="G24" s="7">
        <v>21</v>
      </c>
      <c r="H24" s="7" t="s">
        <v>119</v>
      </c>
      <c r="I24">
        <f>SUMIFS(Table4[Score],Table4[Round],"Finals")</f>
        <v>324</v>
      </c>
    </row>
    <row r="25" spans="7:9" ht="30" customHeight="1" x14ac:dyDescent="0.3">
      <c r="G25" s="7">
        <v>22</v>
      </c>
      <c r="H25" s="7" t="s">
        <v>120</v>
      </c>
      <c r="I25">
        <f>AVERAGEIFS(Table4[Score],Table4[Round],"Prelims")</f>
        <v>43</v>
      </c>
    </row>
    <row r="26" spans="7:9" ht="30" customHeight="1" x14ac:dyDescent="0.3">
      <c r="G26" s="7">
        <v>23</v>
      </c>
      <c r="H26" s="7" t="s">
        <v>121</v>
      </c>
      <c r="I26">
        <f>AVERAGEIFS(Table4[Score],Table4[Round],"Finals")</f>
        <v>54</v>
      </c>
    </row>
    <row r="27" spans="7:9" ht="30" customHeight="1" x14ac:dyDescent="0.3">
      <c r="G27" s="7">
        <v>24</v>
      </c>
      <c r="H27" s="7" t="s">
        <v>122</v>
      </c>
      <c r="I27">
        <f>COUNTIFS(Table4[City],"Delhi",Table4[Round],"Finals")</f>
        <v>2</v>
      </c>
    </row>
    <row r="28" spans="7:9" ht="30" customHeight="1" x14ac:dyDescent="0.3">
      <c r="G28" s="7">
        <v>25</v>
      </c>
      <c r="H28" s="7" t="s">
        <v>123</v>
      </c>
      <c r="I28">
        <f>COUNTIFS(Table4[City],"Mumbai",Table4[Round],"Prelims")</f>
        <v>2</v>
      </c>
    </row>
    <row r="29" spans="7:9" ht="30" customHeight="1" x14ac:dyDescent="0.3">
      <c r="G29" s="7">
        <v>26</v>
      </c>
      <c r="H29" s="7" t="s">
        <v>124</v>
      </c>
      <c r="I29">
        <f>SUMIFS(Table4[Score],Table4[City],"Delhi",Table4[Round],"Prelims")</f>
        <v>97</v>
      </c>
    </row>
    <row r="30" spans="7:9" ht="30" customHeight="1" x14ac:dyDescent="0.3">
      <c r="G30" s="7">
        <v>27</v>
      </c>
      <c r="H30" s="7" t="s">
        <v>125</v>
      </c>
      <c r="I30">
        <f>SUMIFS(Table4[Score],Table4[City],"Delhi",Table4[Round],"Finals")</f>
        <v>108</v>
      </c>
    </row>
    <row r="31" spans="7:9" ht="30" customHeight="1" x14ac:dyDescent="0.3">
      <c r="G31" s="7">
        <v>28</v>
      </c>
      <c r="H31" s="7" t="s">
        <v>126</v>
      </c>
      <c r="I31">
        <f>SUMIFS(Table4[Score],Table4[City],"Mumbai",Table4[Round],"Finals")</f>
        <v>105</v>
      </c>
    </row>
    <row r="32" spans="7:9" ht="30" customHeight="1" x14ac:dyDescent="0.3">
      <c r="G32" s="7">
        <v>29</v>
      </c>
      <c r="H32" s="7" t="s">
        <v>127</v>
      </c>
      <c r="I32">
        <f>AVERAGEIFS(Table4[Score],Table4[City],"Chennai",Table4[Round],"Finals")</f>
        <v>55.5</v>
      </c>
    </row>
    <row r="33" spans="7:9" ht="30" customHeight="1" x14ac:dyDescent="0.3">
      <c r="G33" s="7">
        <v>30</v>
      </c>
      <c r="H33" s="7" t="s">
        <v>128</v>
      </c>
      <c r="I33">
        <f>AVERAGEIFS(Table4[Score],Table4[City],"Mumbai",Table4[Round],"Prelims")</f>
        <v>36.5</v>
      </c>
    </row>
    <row r="34" spans="7:9" ht="30" customHeight="1" x14ac:dyDescent="0.3">
      <c r="G34" s="7">
        <v>31</v>
      </c>
      <c r="H34" s="7" t="s">
        <v>129</v>
      </c>
      <c r="I34">
        <f>COUNTIFS(Table4[Round],"Finals",Table4[Score],"&gt;=55")</f>
        <v>3</v>
      </c>
    </row>
    <row r="35" spans="7:9" ht="30" customHeight="1" x14ac:dyDescent="0.3">
      <c r="G35" s="7">
        <v>32</v>
      </c>
      <c r="H35" s="7" t="s">
        <v>130</v>
      </c>
      <c r="I35">
        <f>COUNTIFS(Table4[City],"Chennai",Table4[Round],"Prelims")</f>
        <v>2</v>
      </c>
    </row>
    <row r="36" spans="7:9" ht="30" customHeight="1" x14ac:dyDescent="0.3">
      <c r="G36" s="7">
        <v>33</v>
      </c>
      <c r="H36" s="7" t="s">
        <v>131</v>
      </c>
      <c r="I36">
        <f>SUMIFS(Table4[Score],Table4[Team Name],"Wolves",Table4[Round],"Finals")</f>
        <v>53</v>
      </c>
    </row>
    <row r="37" spans="7:9" ht="30" customHeight="1" x14ac:dyDescent="0.3">
      <c r="G37" s="7">
        <v>34</v>
      </c>
      <c r="H37" s="7" t="s">
        <v>132</v>
      </c>
      <c r="I37">
        <f>AVERAGEIFS(Table4[Score],Table4[Team Name],"Eagles",Table4[Round],"Prelims")</f>
        <v>45</v>
      </c>
    </row>
    <row r="38" spans="7:9" ht="30" customHeight="1" x14ac:dyDescent="0.3">
      <c r="G38" s="7">
        <v>35</v>
      </c>
      <c r="H38" s="7" t="s">
        <v>133</v>
      </c>
      <c r="I38">
        <f>AVERAGEIF(Table4[Team Name],"Panthers",Table4[Score])</f>
        <v>42.5</v>
      </c>
    </row>
    <row r="39" spans="7:9" ht="30" customHeight="1" x14ac:dyDescent="0.3">
      <c r="G39" s="7">
        <v>36</v>
      </c>
      <c r="H39" s="7" t="s">
        <v>134</v>
      </c>
      <c r="I39">
        <f>SUMIFS(Table4[Score],Table4[Team Name],"Falcons",Table4[Round],"Finals")</f>
        <v>55</v>
      </c>
    </row>
    <row r="40" spans="7:9" ht="30" customHeight="1" x14ac:dyDescent="0.3">
      <c r="G40" s="7">
        <v>37</v>
      </c>
      <c r="H40" s="7" t="s">
        <v>135</v>
      </c>
      <c r="I40">
        <f>COUNTIF(Table4[Team Name],"Tigers")</f>
        <v>2</v>
      </c>
    </row>
    <row r="41" spans="7:9" ht="30" customHeight="1" x14ac:dyDescent="0.3">
      <c r="G41" s="7">
        <v>38</v>
      </c>
      <c r="H41" s="7" t="s">
        <v>136</v>
      </c>
      <c r="I41">
        <f>AVERAGEIFS(Table4[Score],Table4[City],"Delhi",Table4[Round],"Prelims")</f>
        <v>48.5</v>
      </c>
    </row>
    <row r="42" spans="7:9" ht="30" customHeight="1" x14ac:dyDescent="0.3">
      <c r="G42" s="7">
        <v>39</v>
      </c>
      <c r="H42" s="7" t="s">
        <v>137</v>
      </c>
      <c r="I42">
        <f>AVERAGEIFS(Table4[Score],Table4[City],"Delhi",Table4[Round],"Finals")</f>
        <v>54</v>
      </c>
    </row>
    <row r="43" spans="7:9" ht="30" customHeight="1" x14ac:dyDescent="0.3">
      <c r="G43" s="7">
        <v>40</v>
      </c>
      <c r="H43" s="7" t="s">
        <v>138</v>
      </c>
      <c r="I43">
        <f>SUMIFS(Table4[Score],Table4[City],"Chennai",Table4[Round],"Finals")</f>
        <v>111</v>
      </c>
    </row>
  </sheetData>
  <mergeCells count="2">
    <mergeCell ref="A1:F1"/>
    <mergeCell ref="A16:F16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Sports</vt:lpstr>
      <vt:lpstr>Attendance</vt:lpstr>
      <vt:lpstr>Mobile_store</vt:lpstr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ayshanasninasni@gmail.com</cp:lastModifiedBy>
  <dcterms:created xsi:type="dcterms:W3CDTF">2026-06-30T04:04:15Z</dcterms:created>
  <dcterms:modified xsi:type="dcterms:W3CDTF">2026-08-17T19:40:33Z</dcterms:modified>
</cp:coreProperties>
</file>